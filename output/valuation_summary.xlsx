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c226aaf04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ation Summary" sheetId="1" r:id="Rfe4af05e2fa74a7d"/>
    <x:sheet xmlns:r="http://schemas.openxmlformats.org/officeDocument/2006/relationships" name="Methodology" sheetId="2" r:id="R1b05bd2899da4f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[Red](#,##0.00);-"/>
    <x:numFmt numFmtId="201" formatCode="0.00x;[Red](0.00x);-"/>
    <x:numFmt numFmtId="202" formatCode="0.00%;[Red](0.00%);-"/>
    <x:numFmt numFmtId="203" formatCode="0.00;[Red](0.00);-"/>
    <x:numFmt numFmtId="204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3" fontId="2" fillId="0" borderId="1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/>
    </x:xf>
    <x:xf numFmtId="204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1b96084a3540ff" /><Relationship Type="http://schemas.openxmlformats.org/officeDocument/2006/relationships/theme" Target="/xl/theme/theme1.xml" Id="R95abcdf5278a49be" /><Relationship Type="http://schemas.openxmlformats.org/officeDocument/2006/relationships/sharedStrings" Target="/xl/sharedStrings.xml" Id="R8e94d56075794082" /><Relationship Type="http://schemas.openxmlformats.org/officeDocument/2006/relationships/worksheet" Target="/xl/worksheets/sheet1.xml" Id="Rfe4af05e2fa74a7d" /><Relationship Type="http://schemas.openxmlformats.org/officeDocument/2006/relationships/worksheet" Target="/xl/worksheets/sheet2.xml" Id="R1b05bd2899da4fe7" /></Relationships>
</file>

<file path=xl/tables/table1.xml><?xml version="1.0" encoding="utf-8"?>
<x:table xmlns:x="http://schemas.openxmlformats.org/spreadsheetml/2006/main" id="1" name="ValuationSummaryTable" displayName="ValuationSummaryTable" ref="A1:Y93" headerRowCount="1" totalsRowCount="0" totalsRowShown="0">
  <x:tableColumns count="25">
    <x:tableColumn id="1" name="Ticker"/>
    <x:tableColumn id="2" name="Company Name"/>
    <x:tableColumn id="3" name="Broad Sector"/>
    <x:tableColumn id="4" name="Sub Sector"/>
    <x:tableColumn id="5" name="Current Year"/>
    <x:tableColumn id="6" name="Market Cap (₹ Cr)"/>
    <x:tableColumn id="7" name="Current P/E (x)"/>
    <x:tableColumn id="8" name="Current P/B (x)"/>
    <x:tableColumn id="9" name="Current EV/EBITDA (x)"/>
    <x:tableColumn id="10" name="5Y Median P/E (x)"/>
    <x:tableColumn id="11" name="5Y Median P/B (x)"/>
    <x:tableColumn id="12" name="5Y Median EV/EBITDA (x)"/>
    <x:tableColumn id="13" name="Sector Median P/E (x)"/>
    <x:tableColumn id="14" name="Sector Median P/B (x)"/>
    <x:tableColumn id="15" name="Sector Median EV/EBITDA (x)"/>
    <x:tableColumn id="16" name="Dividend Yield (%)"/>
    <x:tableColumn id="17" name="Latest FCF (₹ Cr)"/>
    <x:tableColumn id="18" name="FCF Yield (%)"/>
    <x:tableColumn id="19" name="P/E vs 5Y Median (%)"/>
    <x:tableColumn id="20" name="EV/EBITDA vs Sector (%)"/>
    <x:tableColumn id="21" name="P/E Sector Rank"/>
    <x:tableColumn id="22" name="Dividend Yield Rank"/>
    <x:tableColumn id="23" name="Valuation Badge"/>
    <x:tableColumn id="24" name="EV/EBITDA Flag"/>
    <x:tableColumn id="25" name="Ration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8d4cb400f44a8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2" hidden="0" customWidth="1"/>
    <x:col min="4" max="4" width="24" hidden="0" customWidth="1"/>
    <x:col min="5" max="5" width="11" hidden="0" customWidth="1"/>
    <x:col min="6" max="6" width="18" hidden="0" customWidth="1"/>
    <x:col min="7" max="7" width="14" hidden="0" customWidth="1"/>
    <x:col min="8" max="8" width="14" hidden="0" customWidth="1"/>
    <x:col min="9" max="9" width="18" hidden="0" customWidth="1"/>
    <x:col min="10" max="10" width="16" hidden="0" customWidth="1"/>
    <x:col min="11" max="11" width="16" hidden="0" customWidth="1"/>
    <x:col min="12" max="12" width="20" hidden="0" customWidth="1"/>
    <x:col min="13" max="13" width="18" hidden="0" customWidth="1"/>
    <x:col min="14" max="14" width="18" hidden="0" customWidth="1"/>
    <x:col min="15" max="15" width="22" hidden="0" customWidth="1"/>
    <x:col min="16" max="16" width="16" hidden="0" customWidth="1"/>
    <x:col min="17" max="17" width="16" hidden="0" customWidth="1"/>
    <x:col min="18" max="18" width="14" hidden="0" customWidth="1"/>
    <x:col min="19" max="19" width="18" hidden="0" customWidth="1"/>
    <x:col min="20" max="20" width="20" hidden="0" customWidth="1"/>
    <x:col min="21" max="21" width="15" hidden="0" customWidth="1"/>
    <x:col min="22" max="22" width="18" hidden="0" customWidth="1"/>
    <x:col min="23" max="23" width="16" hidden="0" customWidth="1"/>
    <x:col min="24" max="24" width="18" hidden="0" customWidth="1"/>
    <x:col min="25" max="25" width="38" hidden="0" customWidth="1"/>
  </x:cols>
  <x:sheetData>
    <x:row r="1" ht="34" customHeight="1">
      <x:c r="A1" s="6" t="str">
        <x:v>Ticker</x:v>
      </x:c>
      <x:c r="B1" s="6" t="str">
        <x:v>Company Name</x:v>
      </x:c>
      <x:c r="C1" s="6" t="str">
        <x:v>Broad Sector</x:v>
      </x:c>
      <x:c r="D1" s="6" t="str">
        <x:v>Sub Sector</x:v>
      </x:c>
      <x:c r="E1" s="6" t="str">
        <x:v>Current Year</x:v>
      </x:c>
      <x:c r="F1" s="6" t="str">
        <x:v>Market Cap (₹ Cr)</x:v>
      </x:c>
      <x:c r="G1" s="6" t="str">
        <x:v>Current P/E (x)</x:v>
      </x:c>
      <x:c r="H1" s="6" t="str">
        <x:v>Current P/B (x)</x:v>
      </x:c>
      <x:c r="I1" s="6" t="str">
        <x:v>Current EV/EBITDA (x)</x:v>
      </x:c>
      <x:c r="J1" s="6" t="str">
        <x:v>5Y Median P/E (x)</x:v>
      </x:c>
      <x:c r="K1" s="6" t="str">
        <x:v>5Y Median P/B (x)</x:v>
      </x:c>
      <x:c r="L1" s="6" t="str">
        <x:v>5Y Median EV/EBITDA (x)</x:v>
      </x:c>
      <x:c r="M1" s="6" t="str">
        <x:v>Sector Median P/E (x)</x:v>
      </x:c>
      <x:c r="N1" s="6" t="str">
        <x:v>Sector Median P/B (x)</x:v>
      </x:c>
      <x:c r="O1" s="6" t="str">
        <x:v>Sector Median EV/EBITDA (x)</x:v>
      </x:c>
      <x:c r="P1" s="6" t="str">
        <x:v>Dividend Yield (%)</x:v>
      </x:c>
      <x:c r="Q1" s="6" t="str">
        <x:v>Latest FCF (₹ Cr)</x:v>
      </x:c>
      <x:c r="R1" s="6" t="str">
        <x:v>FCF Yield (%)</x:v>
      </x:c>
      <x:c r="S1" s="6" t="str">
        <x:v>P/E vs 5Y Median (%)</x:v>
      </x:c>
      <x:c r="T1" s="6" t="str">
        <x:v>EV/EBITDA vs Sector (%)</x:v>
      </x:c>
      <x:c r="U1" s="6" t="str">
        <x:v>P/E Sector Rank</x:v>
      </x:c>
      <x:c r="V1" s="6" t="str">
        <x:v>Dividend Yield Rank</x:v>
      </x:c>
      <x:c r="W1" s="6" t="str">
        <x:v>Valuation Badge</x:v>
      </x:c>
      <x:c r="X1" s="6" t="str">
        <x:v>EV/EBITDA Flag</x:v>
      </x:c>
      <x:c r="Y1" s="6" t="str">
        <x:v>Rationale</x:v>
      </x:c>
    </x:row>
    <x:row r="2">
      <x:c r="A2" s="26" t="str">
        <x:v>ABB</x:v>
      </x:c>
      <x:c r="B2" s="26" t="str">
        <x:v>Abbott India Ltd</x:v>
      </x:c>
      <x:c r="C2" s="26" t="str">
        <x:v>Industrials</x:v>
      </x:c>
      <x:c r="D2" s="26" t="str">
        <x:v>Capital Goods</x:v>
      </x:c>
      <x:c r="E2" s="27" t="n">
        <x:v>2024</x:v>
      </x:c>
      <x:c r="F2" s="28" t="n">
        <x:v>1536236.24</x:v>
      </x:c>
      <x:c r="G2" s="29" t="n">
        <x:v>75.58</x:v>
      </x:c>
      <x:c r="H2" s="29" t="n">
        <x:v>4.48</x:v>
      </x:c>
      <x:c r="I2" s="29" t="n">
        <x:v>12.63</x:v>
      </x:c>
      <x:c r="J2" s="29" t="n">
        <x:v>62.63</x:v>
      </x:c>
      <x:c r="K2" s="29" t="n">
        <x:v>6.67</x:v>
      </x:c>
      <x:c r="L2" s="29" t="n">
        <x:v>7.58</x:v>
      </x:c>
      <x:c r="M2" s="29" t="n">
        <x:v>47.155</x:v>
      </x:c>
      <x:c r="N2" s="29" t="n">
        <x:v>7.45</x:v>
      </x:c>
      <x:c r="O2" s="29" t="n">
        <x:v>22.365000000000002</x:v>
      </x:c>
      <x:c r="P2" s="30" t="n">
        <x:v>0.96</x:v>
      </x:c>
      <x:c r="Q2" s="28" t="n">
        <x:v>1095</x:v>
      </x:c>
      <x:c r="R2" s="36" t="n">
        <x:f>IFERROR(Q2/F2*100,"")</x:f>
        <x:v>0.07127809977975783</x:v>
      </x:c>
      <x:c r="S2" s="36" t="n">
        <x:f>IFERROR((G2/J2-1)*100,"")</x:f>
        <x:v>20.676991856937565</x:v>
      </x:c>
      <x:c r="T2" s="36" t="n">
        <x:f>IFERROR((I2/O2-1)*100,"")</x:f>
        <x:v>-43.52783366867874</x:v>
      </x:c>
      <x:c r="U2" s="37" t="n">
        <x:f>COUNTIFS($C$2:$C$93,C2,$G$2:$G$93,"&lt;"&amp;G2)+1</x:f>
        <x:v>9</x:v>
      </x:c>
      <x:c r="V2" s="37" t="n">
        <x:f>RANK.EQ(P2,$P$2:$P$93,0)</x:f>
        <x:v>78</x:v>
      </x:c>
      <x:c r="W2" s="38" t="str">
        <x:f>IF(G2&gt;M2*1.5,"Caution",IF(G2&lt;M2*0.7,"Discount","Fair"))</x:f>
        <x:v>Caution</x:v>
      </x:c>
      <x:c r="X2" s="38" t="str">
        <x:f>IF(I2&gt;O2*1.2,"Above Sector","Normal")</x:f>
        <x:v>Normal</x:v>
      </x:c>
      <x:c r="Y2" s="38" t="str">
        <x:f>IF(W2="Caution","P/E is more than 50% above sector median",IF(W2="Discount","P/E is more than 30% below sector median","P/E is within the normal sector range"))</x:f>
        <x:v>P/E is more than 50% above sector median</x:v>
      </x:c>
    </x:row>
    <x:row r="3">
      <x:c r="A3" s="26" t="str">
        <x:v>ADANIENSOL</x:v>
      </x:c>
      <x:c r="B3" s="26" t="str">
        <x:v>Adani Energy Solutions Ltd</x:v>
      </x:c>
      <x:c r="C3" s="26" t="str">
        <x:v>Energy</x:v>
      </x:c>
      <x:c r="D3" s="26" t="str">
        <x:v>Power &amp; Utilities</x:v>
      </x:c>
      <x:c r="E3" s="27" t="n">
        <x:v>2024</x:v>
      </x:c>
      <x:c r="F3" s="28" t="n">
        <x:v>348517.36</x:v>
      </x:c>
      <x:c r="G3" s="29" t="n">
        <x:v>58.5</x:v>
      </x:c>
      <x:c r="H3" s="29" t="n">
        <x:v>9.05</x:v>
      </x:c>
      <x:c r="I3" s="29" t="n">
        <x:v>14.83</x:v>
      </x:c>
      <x:c r="J3" s="29" t="n">
        <x:v>58.5</x:v>
      </x:c>
      <x:c r="K3" s="29" t="n">
        <x:v>9.79</x:v>
      </x:c>
      <x:c r="L3" s="29" t="n">
        <x:v>14.83</x:v>
      </x:c>
      <x:c r="M3" s="29" t="n">
        <x:v>44.915</x:v>
      </x:c>
      <x:c r="N3" s="29" t="n">
        <x:v>6</x:v>
      </x:c>
      <x:c r="O3" s="29" t="n">
        <x:v>24.86</x:v>
      </x:c>
      <x:c r="P3" s="30" t="n">
        <x:v>1.65</x:v>
      </x:c>
      <x:c r="Q3" s="28" t="n">
        <x:v>1095</x:v>
      </x:c>
      <x:c r="R3" s="36" t="n">
        <x:f>IFERROR(Q3/F3*100,"")</x:f>
        <x:v>0.3141880794689826</x:v>
      </x:c>
      <x:c r="S3" s="36" t="n">
        <x:f>IFERROR((G3/J3-1)*100,"")</x:f>
        <x:v>0</x:v>
      </x:c>
      <x:c r="T3" s="36" t="n">
        <x:f>IFERROR((I3/O3-1)*100,"")</x:f>
        <x:v>-40.345937248592115</x:v>
      </x:c>
      <x:c r="U3" s="37" t="n">
        <x:f>COUNTIFS($C$2:$C$93,C3,$G$2:$G$93,"&lt;"&amp;G3)+1</x:f>
        <x:v>11</x:v>
      </x:c>
      <x:c r="V3" s="37" t="n">
        <x:f>RANK.EQ(P3,$P$2:$P$93,0)</x:f>
        <x:v>57</x:v>
      </x:c>
      <x:c r="W3" s="38" t="str">
        <x:f>IF(G3&gt;M3*1.5,"Caution",IF(G3&lt;M3*0.7,"Discount","Fair"))</x:f>
        <x:v>Fair</x:v>
      </x:c>
      <x:c r="X3" s="38" t="str">
        <x:f>IF(I3&gt;O3*1.2,"Above Sector","Normal")</x:f>
        <x:v>Normal</x:v>
      </x:c>
      <x:c r="Y3" s="38" t="str">
        <x:f>IF(W3="Caution","P/E is more than 50% above sector median",IF(W3="Discount","P/E is more than 30% below sector median","P/E is within the normal sector range"))</x:f>
        <x:v>P/E is within the normal sector range</x:v>
      </x:c>
    </x:row>
    <x:row r="4">
      <x:c r="A4" s="26" t="str">
        <x:v>ADANIENT</x:v>
      </x:c>
      <x:c r="B4" s="26" t="str">
        <x:v>Adani Enterprises Ltd</x:v>
      </x:c>
      <x:c r="C4" s="26" t="str">
        <x:v>Industrials</x:v>
      </x:c>
      <x:c r="D4" s="26" t="str">
        <x:v>Conglomerates</x:v>
      </x:c>
      <x:c r="E4" s="27" t="n">
        <x:v>2024</x:v>
      </x:c>
      <x:c r="F4" s="28" t="n">
        <x:v>187927.97</x:v>
      </x:c>
      <x:c r="G4" s="29" t="n">
        <x:v>58.87</x:v>
      </x:c>
      <x:c r="H4" s="29" t="n">
        <x:v>10.41</x:v>
      </x:c>
      <x:c r="I4" s="29" t="n">
        <x:v>33.01</x:v>
      </x:c>
      <x:c r="J4" s="29" t="n">
        <x:v>58.87</x:v>
      </x:c>
      <x:c r="K4" s="29" t="n">
        <x:v>8.25</x:v>
      </x:c>
      <x:c r="L4" s="29" t="n">
        <x:v>10.05</x:v>
      </x:c>
      <x:c r="M4" s="29" t="n">
        <x:v>47.155</x:v>
      </x:c>
      <x:c r="N4" s="29" t="n">
        <x:v>7.45</x:v>
      </x:c>
      <x:c r="O4" s="29" t="n">
        <x:v>22.365000000000002</x:v>
      </x:c>
      <x:c r="P4" s="30" t="n">
        <x:v>0.83</x:v>
      </x:c>
      <x:c r="Q4" s="28" t="n">
        <x:v>-8455</x:v>
      </x:c>
      <x:c r="R4" s="36" t="n">
        <x:f>IFERROR(Q4/F4*100,"")</x:f>
        <x:v>-4.499064189327432</x:v>
      </x:c>
      <x:c r="S4" s="36" t="n">
        <x:f>IFERROR((G4/J4-1)*100,"")</x:f>
        <x:v>0</x:v>
      </x:c>
      <x:c r="T4" s="36" t="n">
        <x:f>IFERROR((I4/O4-1)*100,"")</x:f>
        <x:v>47.59669125866306</x:v>
      </x:c>
      <x:c r="U4" s="37" t="n">
        <x:f>COUNTIFS($C$2:$C$93,C4,$G$2:$G$93,"&lt;"&amp;G4)+1</x:f>
        <x:v>7</x:v>
      </x:c>
      <x:c r="V4" s="37" t="n">
        <x:f>RANK.EQ(P4,$P$2:$P$93,0)</x:f>
        <x:v>80</x:v>
      </x:c>
      <x:c r="W4" s="38" t="str">
        <x:f>IF(G4&gt;M4*1.5,"Caution",IF(G4&lt;M4*0.7,"Discount","Fair"))</x:f>
        <x:v>Fair</x:v>
      </x:c>
      <x:c r="X4" s="38" t="str">
        <x:f>IF(I4&gt;O4*1.2,"Above Sector","Normal")</x:f>
        <x:v>Above Sector</x:v>
      </x:c>
      <x:c r="Y4" s="38" t="str">
        <x:f>IF(W4="Caution","P/E is more than 50% above sector median",IF(W4="Discount","P/E is more than 30% below sector median","P/E is within the normal sector range"))</x:f>
        <x:v>P/E is within the normal sector range</x:v>
      </x:c>
    </x:row>
    <x:row r="5">
      <x:c r="A5" s="26" t="str">
        <x:v>ADANIGREEN</x:v>
      </x:c>
      <x:c r="B5" s="26" t="str">
        <x:v>Adani Green Energy Ltd</x:v>
      </x:c>
      <x:c r="C5" s="26" t="str">
        <x:v>Energy</x:v>
      </x:c>
      <x:c r="D5" s="26" t="str">
        <x:v>Renewable Energy</x:v>
      </x:c>
      <x:c r="E5" s="27" t="n">
        <x:v>2024</x:v>
      </x:c>
      <x:c r="F5" s="28" t="n">
        <x:v>510512.78</x:v>
      </x:c>
      <x:c r="G5" s="29" t="n">
        <x:v>45.26</x:v>
      </x:c>
      <x:c r="H5" s="29" t="n">
        <x:v>6.24</x:v>
      </x:c>
      <x:c r="I5" s="29" t="n">
        <x:v>21.78</x:v>
      </x:c>
      <x:c r="J5" s="29" t="n">
        <x:v>37.61</x:v>
      </x:c>
      <x:c r="K5" s="29" t="n">
        <x:v>6.24</x:v>
      </x:c>
      <x:c r="L5" s="29" t="n">
        <x:v>21.78</x:v>
      </x:c>
      <x:c r="M5" s="29" t="n">
        <x:v>44.915</x:v>
      </x:c>
      <x:c r="N5" s="29" t="n">
        <x:v>6</x:v>
      </x:c>
      <x:c r="O5" s="29" t="n">
        <x:v>24.86</x:v>
      </x:c>
      <x:c r="P5" s="30" t="n">
        <x:v>0.89</x:v>
      </x:c>
      <x:c r="Q5" s="28" t="n">
        <x:v>-13347</x:v>
      </x:c>
      <x:c r="R5" s="36" t="n">
        <x:f>IFERROR(Q5/F5*100,"")</x:f>
        <x:v>-2.61443014217979</x:v>
      </x:c>
      <x:c r="S5" s="36" t="n">
        <x:f>IFERROR((G5/J5-1)*100,"")</x:f>
        <x:v>20.34033501728263</x:v>
      </x:c>
      <x:c r="T5" s="36" t="n">
        <x:f>IFERROR((I5/O5-1)*100,"")</x:f>
        <x:v>-12.389380530973447</x:v>
      </x:c>
      <x:c r="U5" s="37" t="n">
        <x:f>COUNTIFS($C$2:$C$93,C5,$G$2:$G$93,"&lt;"&amp;G5)+1</x:f>
        <x:v>8</x:v>
      </x:c>
      <x:c r="V5" s="37" t="n">
        <x:f>RANK.EQ(P5,$P$2:$P$93,0)</x:f>
        <x:v>79</x:v>
      </x:c>
      <x:c r="W5" s="38" t="str">
        <x:f>IF(G5&gt;M5*1.5,"Caution",IF(G5&lt;M5*0.7,"Discount","Fair"))</x:f>
        <x:v>Fair</x:v>
      </x:c>
      <x:c r="X5" s="38" t="str">
        <x:f>IF(I5&gt;O5*1.2,"Above Sector","Normal")</x:f>
        <x:v>Normal</x:v>
      </x:c>
      <x:c r="Y5" s="38" t="str">
        <x:f>IF(W5="Caution","P/E is more than 50% above sector median",IF(W5="Discount","P/E is more than 30% below sector median","P/E is within the normal sector range"))</x:f>
        <x:v>P/E is within the normal sector range</x:v>
      </x:c>
    </x:row>
    <x:row r="6">
      <x:c r="A6" s="26" t="str">
        <x:v>ADANIPORTS</x:v>
      </x:c>
      <x:c r="B6" s="26" t="str">
        <x:v>Adani Ports &amp; Special Economic Zone Ltd
</x:v>
      </x:c>
      <x:c r="C6" s="26" t="str">
        <x:v>Industrials</x:v>
      </x:c>
      <x:c r="D6" s="26" t="str">
        <x:v>Infrastructure</x:v>
      </x:c>
      <x:c r="E6" s="27" t="n">
        <x:v>2024</x:v>
      </x:c>
      <x:c r="F6" s="28" t="n">
        <x:v>675598.01</x:v>
      </x:c>
      <x:c r="G6" s="29" t="n">
        <x:v>48.9</x:v>
      </x:c>
      <x:c r="H6" s="29" t="n">
        <x:v>2.31</x:v>
      </x:c>
      <x:c r="I6" s="29" t="n">
        <x:v>31.76</x:v>
      </x:c>
      <x:c r="J6" s="29" t="n">
        <x:v>48.9</x:v>
      </x:c>
      <x:c r="K6" s="29" t="n">
        <x:v>3.96</x:v>
      </x:c>
      <x:c r="L6" s="29" t="n">
        <x:v>31.76</x:v>
      </x:c>
      <x:c r="M6" s="29" t="n">
        <x:v>47.155</x:v>
      </x:c>
      <x:c r="N6" s="29" t="n">
        <x:v>7.45</x:v>
      </x:c>
      <x:c r="O6" s="29" t="n">
        <x:v>22.365000000000002</x:v>
      </x:c>
      <x:c r="P6" s="30" t="n">
        <x:v>1.16</x:v>
      </x:c>
      <x:c r="Q6" s="28" t="n">
        <x:v>8250</x:v>
      </x:c>
      <x:c r="R6" s="36" t="n">
        <x:f>IFERROR(Q6/F6*100,"")</x:f>
        <x:v>1.2211403642233938</x:v>
      </x:c>
      <x:c r="S6" s="36" t="n">
        <x:f>IFERROR((G6/J6-1)*100,"")</x:f>
        <x:v>0</x:v>
      </x:c>
      <x:c r="T6" s="36" t="n">
        <x:f>IFERROR((I6/O6-1)*100,"")</x:f>
        <x:v>42.007601162530726</x:v>
      </x:c>
      <x:c r="U6" s="37" t="n">
        <x:f>COUNTIFS($C$2:$C$93,C6,$G$2:$G$93,"&lt;"&amp;G6)+1</x:f>
        <x:v>6</x:v>
      </x:c>
      <x:c r="V6" s="37" t="n">
        <x:f>RANK.EQ(P6,$P$2:$P$93,0)</x:f>
        <x:v>69</x:v>
      </x:c>
      <x:c r="W6" s="38" t="str">
        <x:f>IF(G6&gt;M6*1.5,"Caution",IF(G6&lt;M6*0.7,"Discount","Fair"))</x:f>
        <x:v>Fair</x:v>
      </x:c>
      <x:c r="X6" s="38" t="str">
        <x:f>IF(I6&gt;O6*1.2,"Above Sector","Normal")</x:f>
        <x:v>Above Sector</x:v>
      </x:c>
      <x:c r="Y6" s="38" t="str">
        <x:f>IF(W6="Caution","P/E is more than 50% above sector median",IF(W6="Discount","P/E is more than 30% below sector median","P/E is within the normal sector range"))</x:f>
        <x:v>P/E is within the normal sector range</x:v>
      </x:c>
    </x:row>
    <x:row r="7">
      <x:c r="A7" s="26" t="str">
        <x:v>ADANIPOWER</x:v>
      </x:c>
      <x:c r="B7" s="26" t="str">
        <x:v>Adani Power Ltd</x:v>
      </x:c>
      <x:c r="C7" s="26" t="str">
        <x:v>Energy</x:v>
      </x:c>
      <x:c r="D7" s="26" t="str">
        <x:v>Power &amp; Utilities</x:v>
      </x:c>
      <x:c r="E7" s="27" t="n">
        <x:v>2024</x:v>
      </x:c>
      <x:c r="F7" s="28" t="n">
        <x:v>1372183.55</x:v>
      </x:c>
      <x:c r="G7" s="29" t="n">
        <x:v>44.57</x:v>
      </x:c>
      <x:c r="H7" s="29" t="n">
        <x:v>9.91</x:v>
      </x:c>
      <x:c r="I7" s="29" t="n">
        <x:v>24.76</x:v>
      </x:c>
      <x:c r="J7" s="29" t="n">
        <x:v>52.23</x:v>
      </x:c>
      <x:c r="K7" s="29" t="n">
        <x:v>8.51</x:v>
      </x:c>
      <x:c r="L7" s="29" t="n">
        <x:v>18.25</x:v>
      </x:c>
      <x:c r="M7" s="29" t="n">
        <x:v>44.915</x:v>
      </x:c>
      <x:c r="N7" s="29" t="n">
        <x:v>6</x:v>
      </x:c>
      <x:c r="O7" s="29" t="n">
        <x:v>24.86</x:v>
      </x:c>
      <x:c r="P7" s="30" t="n">
        <x:v>1.65</x:v>
      </x:c>
      <x:c r="Q7" s="28" t="n">
        <x:v>17651</x:v>
      </x:c>
      <x:c r="R7" s="36" t="n">
        <x:f>IFERROR(Q7/F7*100,"")</x:f>
        <x:v>1.2863439442922924</x:v>
      </x:c>
      <x:c r="S7" s="36" t="n">
        <x:f>IFERROR((G7/J7-1)*100,"")</x:f>
        <x:v>-14.66590082328163</x:v>
      </x:c>
      <x:c r="T7" s="36" t="n">
        <x:f>IFERROR((I7/O7-1)*100,"")</x:f>
        <x:v>-0.4022526146419847</x:v>
      </x:c>
      <x:c r="U7" s="37" t="n">
        <x:f>COUNTIFS($C$2:$C$93,C7,$G$2:$G$93,"&lt;"&amp;G7)+1</x:f>
        <x:v>7</x:v>
      </x:c>
      <x:c r="V7" s="37" t="n">
        <x:f>RANK.EQ(P7,$P$2:$P$93,0)</x:f>
        <x:v>57</x:v>
      </x:c>
      <x:c r="W7" s="38" t="str">
        <x:f>IF(G7&gt;M7*1.5,"Caution",IF(G7&lt;M7*0.7,"Discount","Fair"))</x:f>
        <x:v>Fair</x:v>
      </x:c>
      <x:c r="X7" s="38" t="str">
        <x:f>IF(I7&gt;O7*1.2,"Above Sector","Normal")</x:f>
        <x:v>Normal</x:v>
      </x:c>
      <x:c r="Y7" s="38" t="str">
        <x:f>IF(W7="Caution","P/E is more than 50% above sector median",IF(W7="Discount","P/E is more than 30% below sector median","P/E is within the normal sector range"))</x:f>
        <x:v>P/E is within the normal sector range</x:v>
      </x:c>
    </x:row>
    <x:row r="8">
      <x:c r="A8" s="26" t="str">
        <x:v>AMBUJACEM</x:v>
      </x:c>
      <x:c r="B8" s="26" t="str">
        <x:v>Ambuja Cements Ltd</x:v>
      </x:c>
      <x:c r="C8" s="26" t="str">
        <x:v>Materials</x:v>
      </x:c>
      <x:c r="D8" s="26" t="str">
        <x:v>Cement</x:v>
      </x:c>
      <x:c r="E8" s="27" t="n">
        <x:v>2024</x:v>
      </x:c>
      <x:c r="F8" s="28" t="n">
        <x:v>1281411.04</x:v>
      </x:c>
      <x:c r="G8" s="29" t="n">
        <x:v>55.62</x:v>
      </x:c>
      <x:c r="H8" s="29" t="n">
        <x:v>9.21</x:v>
      </x:c>
      <x:c r="I8" s="29" t="n">
        <x:v>27.67</x:v>
      </x:c>
      <x:c r="J8" s="29" t="n">
        <x:v>55.62</x:v>
      </x:c>
      <x:c r="K8" s="29" t="n">
        <x:v>9.21</x:v>
      </x:c>
      <x:c r="L8" s="29" t="n">
        <x:v>17.71</x:v>
      </x:c>
      <x:c r="M8" s="29" t="n">
        <x:v>55.62</x:v>
      </x:c>
      <x:c r="N8" s="29" t="n">
        <x:v>9.21</x:v>
      </x:c>
      <x:c r="O8" s="29" t="n">
        <x:v>26.58</x:v>
      </x:c>
      <x:c r="P8" s="30" t="n">
        <x:v>3.1</x:v>
      </x:c>
      <x:c r="Q8" s="28" t="n">
        <x:v>-3295</x:v>
      </x:c>
      <x:c r="R8" s="36" t="n">
        <x:f>IFERROR(Q8/F8*100,"")</x:f>
        <x:v>-0.25713841204302407</x:v>
      </x:c>
      <x:c r="S8" s="36" t="n">
        <x:f>IFERROR((G8/J8-1)*100,"")</x:f>
        <x:v>0</x:v>
      </x:c>
      <x:c r="T8" s="36" t="n">
        <x:f>IFERROR((I8/O8-1)*100,"")</x:f>
        <x:v>4.100827689992492</x:v>
      </x:c>
      <x:c r="U8" s="37" t="n">
        <x:f>COUNTIFS($C$2:$C$93,C8,$G$2:$G$93,"&lt;"&amp;G8)+1</x:f>
        <x:v>5</x:v>
      </x:c>
      <x:c r="V8" s="37" t="n">
        <x:f>RANK.EQ(P8,$P$2:$P$93,0)</x:f>
        <x:v>29</x:v>
      </x:c>
      <x:c r="W8" s="38" t="str">
        <x:f>IF(G8&gt;M8*1.5,"Caution",IF(G8&lt;M8*0.7,"Discount","Fair"))</x:f>
        <x:v>Fair</x:v>
      </x:c>
      <x:c r="X8" s="38" t="str">
        <x:f>IF(I8&gt;O8*1.2,"Above Sector","Normal")</x:f>
        <x:v>Normal</x:v>
      </x:c>
      <x:c r="Y8" s="38" t="str">
        <x:f>IF(W8="Caution","P/E is more than 50% above sector median",IF(W8="Discount","P/E is more than 30% below sector median","P/E is within the normal sector range"))</x:f>
        <x:v>P/E is within the normal sector range</x:v>
      </x:c>
    </x:row>
    <x:row r="9">
      <x:c r="A9" s="26" t="str">
        <x:v>APOLLOHOSP</x:v>
      </x:c>
      <x:c r="B9" s="26" t="str">
        <x:v>Apollo Hospitals
Chain of Indian private hospitals</x:v>
      </x:c>
      <x:c r="C9" s="26" t="str">
        <x:v>Healthcare</x:v>
      </x:c>
      <x:c r="D9" s="26" t="str">
        <x:v>Healthcare</x:v>
      </x:c>
      <x:c r="E9" s="27" t="n">
        <x:v>2024</x:v>
      </x:c>
      <x:c r="F9" s="28" t="n">
        <x:v>1905622.43</x:v>
      </x:c>
      <x:c r="G9" s="29" t="n">
        <x:v>47.72</x:v>
      </x:c>
      <x:c r="H9" s="29" t="n">
        <x:v>7.68</x:v>
      </x:c>
      <x:c r="I9" s="29" t="n">
        <x:v>16.74</x:v>
      </x:c>
      <x:c r="J9" s="29" t="n">
        <x:v>28.39</x:v>
      </x:c>
      <x:c r="K9" s="29" t="n">
        <x:v>7.68</x:v>
      </x:c>
      <x:c r="L9" s="29" t="n">
        <x:v>16.74</x:v>
      </x:c>
      <x:c r="M9" s="29" t="n">
        <x:v>47.06</x:v>
      </x:c>
      <x:c r="N9" s="29" t="n">
        <x:v>7.195</x:v>
      </x:c>
      <x:c r="O9" s="29" t="n">
        <x:v>24.67</x:v>
      </x:c>
      <x:c r="P9" s="30" t="n">
        <x:v>3.22</x:v>
      </x:c>
      <x:c r="Q9" s="28" t="n">
        <x:v>383</x:v>
      </x:c>
      <x:c r="R9" s="36" t="n">
        <x:f>IFERROR(Q9/F9*100,"")</x:f>
        <x:v>0.0200984200212211</x:v>
      </x:c>
      <x:c r="S9" s="36" t="n">
        <x:f>IFERROR((G9/J9-1)*100,"")</x:f>
        <x:v>68.08735470235999</x:v>
      </x:c>
      <x:c r="T9" s="36" t="n">
        <x:f>IFERROR((I9/O9-1)*100,"")</x:f>
        <x:v>-32.144304823672485</x:v>
      </x:c>
      <x:c r="U9" s="37" t="n">
        <x:f>COUNTIFS($C$2:$C$93,C9,$G$2:$G$93,"&lt;"&amp;G9)+1</x:f>
        <x:v>4</x:v>
      </x:c>
      <x:c r="V9" s="37" t="n">
        <x:f>RANK.EQ(P9,$P$2:$P$93,0)</x:f>
        <x:v>26</x:v>
      </x:c>
      <x:c r="W9" s="38" t="str">
        <x:f>IF(G9&gt;M9*1.5,"Caution",IF(G9&lt;M9*0.7,"Discount","Fair"))</x:f>
        <x:v>Fair</x:v>
      </x:c>
      <x:c r="X9" s="38" t="str">
        <x:f>IF(I9&gt;O9*1.2,"Above Sector","Normal")</x:f>
        <x:v>Normal</x:v>
      </x:c>
      <x:c r="Y9" s="38" t="str">
        <x:f>IF(W9="Caution","P/E is more than 50% above sector median",IF(W9="Discount","P/E is more than 30% below sector median","P/E is within the normal sector range"))</x:f>
        <x:v>P/E is within the normal sector range</x:v>
      </x:c>
    </x:row>
    <x:row r="10">
      <x:c r="A10" s="26" t="str">
        <x:v>ASIANPAINT</x:v>
      </x:c>
      <x:c r="B10" s="26" t="str">
        <x:v>Asian Paints
Indian Multi-National Paint and Coating Manufacturing Company</x:v>
      </x:c>
      <x:c r="C10" s="26" t="str">
        <x:v>Materials</x:v>
      </x:c>
      <x:c r="D10" s="26" t="str">
        <x:v>Paints &amp; Coatings</x:v>
      </x:c>
      <x:c r="E10" s="27" t="n">
        <x:v>2024</x:v>
      </x:c>
      <x:c r="F10" s="28" t="n">
        <x:v>2126725.18</x:v>
      </x:c>
      <x:c r="G10" s="29" t="n">
        <x:v>73.37</x:v>
      </x:c>
      <x:c r="H10" s="29" t="n">
        <x:v>3.9</x:v>
      </x:c>
      <x:c r="I10" s="29" t="n">
        <x:v>23.94</x:v>
      </x:c>
      <x:c r="J10" s="29" t="n">
        <x:v>49.2</x:v>
      </x:c>
      <x:c r="K10" s="29" t="n">
        <x:v>4.65</x:v>
      </x:c>
      <x:c r="L10" s="29" t="n">
        <x:v>23.03</x:v>
      </x:c>
      <x:c r="M10" s="29" t="n">
        <x:v>55.62</x:v>
      </x:c>
      <x:c r="N10" s="29" t="n">
        <x:v>9.21</x:v>
      </x:c>
      <x:c r="O10" s="29" t="n">
        <x:v>26.58</x:v>
      </x:c>
      <x:c r="P10" s="30" t="n">
        <x:v>2.42</x:v>
      </x:c>
      <x:c r="Q10" s="28" t="n">
        <x:v>3556</x:v>
      </x:c>
      <x:c r="R10" s="36" t="n">
        <x:f>IFERROR(Q10/F10*100,"")</x:f>
        <x:v>0.16720543083991699</x:v>
      </x:c>
      <x:c r="S10" s="36" t="n">
        <x:f>IFERROR((G10/J10-1)*100,"")</x:f>
        <x:v>49.1260162601626</x:v>
      </x:c>
      <x:c r="T10" s="36" t="n">
        <x:f>IFERROR((I10/O10-1)*100,"")</x:f>
        <x:v>-9.932279909706532</x:v>
      </x:c>
      <x:c r="U10" s="37" t="n">
        <x:f>COUNTIFS($C$2:$C$93,C10,$G$2:$G$93,"&lt;"&amp;G10)+1</x:f>
        <x:v>8</x:v>
      </x:c>
      <x:c r="V10" s="37" t="n">
        <x:f>RANK.EQ(P10,$P$2:$P$93,0)</x:f>
        <x:v>43</x:v>
      </x:c>
      <x:c r="W10" s="38" t="str">
        <x:f>IF(G10&gt;M10*1.5,"Caution",IF(G10&lt;M10*0.7,"Discount","Fair"))</x:f>
        <x:v>Fair</x:v>
      </x:c>
      <x:c r="X10" s="38" t="str">
        <x:f>IF(I10&gt;O10*1.2,"Above Sector","Normal")</x:f>
        <x:v>Normal</x:v>
      </x:c>
      <x:c r="Y10" s="38" t="str">
        <x:f>IF(W10="Caution","P/E is more than 50% above sector median",IF(W10="Discount","P/E is more than 30% below sector median","P/E is within the normal sector range"))</x:f>
        <x:v>P/E is within the normal sector range</x:v>
      </x:c>
    </x:row>
    <x:row r="11">
      <x:c r="A11" s="26" t="str">
        <x:v>ATGL</x:v>
      </x:c>
      <x:c r="B11" s="26" t="str">
        <x:v>Adani Total Gas Ltd</x:v>
      </x:c>
      <x:c r="C11" s="26" t="str">
        <x:v>Energy</x:v>
      </x:c>
      <x:c r="D11" s="26" t="str">
        <x:v>Gas Distribution</x:v>
      </x:c>
      <x:c r="E11" s="27" t="n">
        <x:v>2024</x:v>
      </x:c>
      <x:c r="F11" s="28" t="n">
        <x:v>1535602.41</x:v>
      </x:c>
      <x:c r="G11" s="29" t="n">
        <x:v>56.96</x:v>
      </x:c>
      <x:c r="H11" s="29" t="n">
        <x:v>5.76</x:v>
      </x:c>
      <x:c r="I11" s="29" t="n">
        <x:v>28.93</x:v>
      </x:c>
      <x:c r="J11" s="29" t="n">
        <x:v>35.59</x:v>
      </x:c>
      <x:c r="K11" s="29" t="n">
        <x:v>6.88</x:v>
      </x:c>
      <x:c r="L11" s="29" t="n">
        <x:v>27.91</x:v>
      </x:c>
      <x:c r="M11" s="29" t="n">
        <x:v>44.915</x:v>
      </x:c>
      <x:c r="N11" s="29" t="n">
        <x:v>6</x:v>
      </x:c>
      <x:c r="O11" s="29" t="n">
        <x:v>24.86</x:v>
      </x:c>
      <x:c r="P11" s="30" t="n">
        <x:v>0.51</x:v>
      </x:c>
      <x:c r="Q11" s="28"/>
      <x:c r="R11" s="36" t="n">
        <x:f>IFERROR(Q11/F11*100,"")</x:f>
        <x:v>0</x:v>
      </x:c>
      <x:c r="S11" s="36" t="n">
        <x:f>IFERROR((G11/J11-1)*100,"")</x:f>
        <x:v>60.044956448440566</x:v>
      </x:c>
      <x:c r="T11" s="36" t="n">
        <x:f>IFERROR((I11/O11-1)*100,"")</x:f>
        <x:v>16.371681415929196</x:v>
      </x:c>
      <x:c r="U11" s="37" t="n">
        <x:f>COUNTIFS($C$2:$C$93,C11,$G$2:$G$93,"&lt;"&amp;G11)+1</x:f>
        <x:v>9</x:v>
      </x:c>
      <x:c r="V11" s="37" t="n">
        <x:f>RANK.EQ(P11,$P$2:$P$93,0)</x:f>
        <x:v>83</x:v>
      </x:c>
      <x:c r="W11" s="38" t="str">
        <x:f>IF(G11&gt;M11*1.5,"Caution",IF(G11&lt;M11*0.7,"Discount","Fair"))</x:f>
        <x:v>Fair</x:v>
      </x:c>
      <x:c r="X11" s="38" t="str">
        <x:f>IF(I11&gt;O11*1.2,"Above Sector","Normal")</x:f>
        <x:v>Normal</x:v>
      </x:c>
      <x:c r="Y11" s="38" t="str">
        <x:f>IF(W11="Caution","P/E is more than 50% above sector median",IF(W11="Discount","P/E is more than 30% below sector median","P/E is within the normal sector range"))</x:f>
        <x:v>P/E is within the normal sector range</x:v>
      </x:c>
    </x:row>
    <x:row r="12">
      <x:c r="A12" s="26" t="str">
        <x:v>AXISBANK</x:v>
      </x:c>
      <x:c r="B12" s="26" t="str">
        <x:v>Axis Bank Ltd</x:v>
      </x:c>
      <x:c r="C12" s="26" t="str">
        <x:v>Financials</x:v>
      </x:c>
      <x:c r="D12" s="26" t="str">
        <x:v>Private Banks</x:v>
      </x:c>
      <x:c r="E12" s="27" t="n">
        <x:v>2024</x:v>
      </x:c>
      <x:c r="F12" s="28" t="n">
        <x:v>948868.63</x:v>
      </x:c>
      <x:c r="G12" s="29" t="n">
        <x:v>38.14</x:v>
      </x:c>
      <x:c r="H12" s="29" t="n">
        <x:v>4.66</x:v>
      </x:c>
      <x:c r="I12" s="29" t="n">
        <x:v>16.87</x:v>
      </x:c>
      <x:c r="J12" s="29" t="n">
        <x:v>56.88</x:v>
      </x:c>
      <x:c r="K12" s="29" t="n">
        <x:v>4.08</x:v>
      </x:c>
      <x:c r="L12" s="29" t="n">
        <x:v>17.04</x:v>
      </x:c>
      <x:c r="M12" s="29" t="n">
        <x:v>34.24</x:v>
      </x:c>
      <x:c r="N12" s="29" t="n">
        <x:v>6.59</x:v>
      </x:c>
      <x:c r="O12" s="29" t="n">
        <x:v>23.95</x:v>
      </x:c>
      <x:c r="P12" s="30" t="n">
        <x:v>2.32</x:v>
      </x:c>
      <x:c r="Q12" s="28" t="n">
        <x:v>-14556</x:v>
      </x:c>
      <x:c r="R12" s="36" t="n">
        <x:f>IFERROR(Q12/F12*100,"")</x:f>
        <x:v>-1.5340374357196316</x:v>
      </x:c>
      <x:c r="S12" s="36" t="n">
        <x:f>IFERROR((G12/J12-1)*100,"")</x:f>
        <x:v>-32.94655414908579</x:v>
      </x:c>
      <x:c r="T12" s="36" t="n">
        <x:f>IFERROR((I12/O12-1)*100,"")</x:f>
        <x:v>-29.561586638830896</x:v>
      </x:c>
      <x:c r="U12" s="37" t="n">
        <x:f>COUNTIFS($C$2:$C$93,C12,$G$2:$G$93,"&lt;"&amp;G12)+1</x:f>
        <x:v>16</x:v>
      </x:c>
      <x:c r="V12" s="37" t="n">
        <x:f>RANK.EQ(P12,$P$2:$P$93,0)</x:f>
        <x:v>45</x:v>
      </x:c>
      <x:c r="W12" s="38" t="str">
        <x:f>IF(G12&gt;M12*1.5,"Caution",IF(G12&lt;M12*0.7,"Discount","Fair"))</x:f>
        <x:v>Fair</x:v>
      </x:c>
      <x:c r="X12" s="38" t="str">
        <x:f>IF(I12&gt;O12*1.2,"Above Sector","Normal")</x:f>
        <x:v>Normal</x:v>
      </x:c>
      <x:c r="Y12" s="38" t="str">
        <x:f>IF(W12="Caution","P/E is more than 50% above sector median",IF(W12="Discount","P/E is more than 30% below sector median","P/E is within the normal sector range"))</x:f>
        <x:v>P/E is within the normal sector range</x:v>
      </x:c>
    </x:row>
    <x:row r="13">
      <x:c r="A13" s="26" t="str">
        <x:v>BAJAJ-AUTO</x:v>
      </x:c>
      <x:c r="B13" s="26" t="str">
        <x:v>Bajaj Auto Ltd</x:v>
      </x:c>
      <x:c r="C13" s="26" t="str">
        <x:v>Consumer Discretionary</x:v>
      </x:c>
      <x:c r="D13" s="26" t="str">
        <x:v>Two Wheelers</x:v>
      </x:c>
      <x:c r="E13" s="27" t="n">
        <x:v>2024</x:v>
      </x:c>
      <x:c r="F13" s="28" t="n">
        <x:v>653817.3</x:v>
      </x:c>
      <x:c r="G13" s="29" t="n">
        <x:v>29.91</x:v>
      </x:c>
      <x:c r="H13" s="29" t="n">
        <x:v>9.83</x:v>
      </x:c>
      <x:c r="I13" s="29" t="n">
        <x:v>20.14</x:v>
      </x:c>
      <x:c r="J13" s="29" t="n">
        <x:v>49.72</x:v>
      </x:c>
      <x:c r="K13" s="29" t="n">
        <x:v>9.83</x:v>
      </x:c>
      <x:c r="L13" s="29" t="n">
        <x:v>32.77</x:v>
      </x:c>
      <x:c r="M13" s="29" t="n">
        <x:v>38.005</x:v>
      </x:c>
      <x:c r="N13" s="29" t="n">
        <x:v>8.065</x:v>
      </x:c>
      <x:c r="O13" s="29" t="n">
        <x:v>26.455</x:v>
      </x:c>
      <x:c r="P13" s="30" t="n">
        <x:v>3.59</x:v>
      </x:c>
      <x:c r="Q13" s="28" t="n">
        <x:v>6486</x:v>
      </x:c>
      <x:c r="R13" s="36" t="n">
        <x:f>IFERROR(Q13/F13*100,"")</x:f>
        <x:v>0.992020247858232</x:v>
      </x:c>
      <x:c r="S13" s="36" t="n">
        <x:f>IFERROR((G13/J13-1)*100,"")</x:f>
        <x:v>-39.843121480289625</x:v>
      </x:c>
      <x:c r="T13" s="36" t="n">
        <x:f>IFERROR((I13/O13-1)*100,"")</x:f>
        <x:v>-23.870723870723864</x:v>
      </x:c>
      <x:c r="U13" s="37" t="n">
        <x:f>COUNTIFS($C$2:$C$93,C13,$G$2:$G$93,"&lt;"&amp;G13)+1</x:f>
        <x:v>7</x:v>
      </x:c>
      <x:c r="V13" s="37" t="n">
        <x:f>RANK.EQ(P13,$P$2:$P$93,0)</x:f>
        <x:v>20</x:v>
      </x:c>
      <x:c r="W13" s="38" t="str">
        <x:f>IF(G13&gt;M13*1.5,"Caution",IF(G13&lt;M13*0.7,"Discount","Fair"))</x:f>
        <x:v>Fair</x:v>
      </x:c>
      <x:c r="X13" s="38" t="str">
        <x:f>IF(I13&gt;O13*1.2,"Above Sector","Normal")</x:f>
        <x:v>Normal</x:v>
      </x:c>
      <x:c r="Y13" s="38" t="str">
        <x:f>IF(W13="Caution","P/E is more than 50% above sector median",IF(W13="Discount","P/E is more than 30% below sector median","P/E is within the normal sector range"))</x:f>
        <x:v>P/E is within the normal sector range</x:v>
      </x:c>
    </x:row>
    <x:row r="14">
      <x:c r="A14" s="26" t="str">
        <x:v>BAJAJFINSV</x:v>
      </x:c>
      <x:c r="B14" s="26" t="str">
        <x:v>Bajaj Finserv Ltd</x:v>
      </x:c>
      <x:c r="C14" s="26" t="str">
        <x:v>Financials</x:v>
      </x:c>
      <x:c r="D14" s="26" t="str">
        <x:v>Diversified Financials</x:v>
      </x:c>
      <x:c r="E14" s="27" t="n">
        <x:v>2024</x:v>
      </x:c>
      <x:c r="F14" s="28" t="n">
        <x:v>1905112.17</x:v>
      </x:c>
      <x:c r="G14" s="29" t="n">
        <x:v>15.07</x:v>
      </x:c>
      <x:c r="H14" s="29" t="n">
        <x:v>6.08</x:v>
      </x:c>
      <x:c r="I14" s="29" t="n">
        <x:v>39.72</x:v>
      </x:c>
      <x:c r="J14" s="29" t="n">
        <x:v>51.06</x:v>
      </x:c>
      <x:c r="K14" s="29" t="n">
        <x:v>6.08</x:v>
      </x:c>
      <x:c r="L14" s="29" t="n">
        <x:v>24.06</x:v>
      </x:c>
      <x:c r="M14" s="29" t="n">
        <x:v>34.24</x:v>
      </x:c>
      <x:c r="N14" s="29" t="n">
        <x:v>6.59</x:v>
      </x:c>
      <x:c r="O14" s="29" t="n">
        <x:v>23.95</x:v>
      </x:c>
      <x:c r="P14" s="30" t="n">
        <x:v>2.56</x:v>
      </x:c>
      <x:c r="Q14" s="28" t="n">
        <x:v>-79634</x:v>
      </x:c>
      <x:c r="R14" s="36" t="n">
        <x:f>IFERROR(Q14/F14*100,"")</x:f>
        <x:v>-4.180016339930263</x:v>
      </x:c>
      <x:c r="S14" s="36" t="n">
        <x:f>IFERROR((G14/J14-1)*100,"")</x:f>
        <x:v>-70.48570309439874</x:v>
      </x:c>
      <x:c r="T14" s="36" t="n">
        <x:f>IFERROR((I14/O14-1)*100,"")</x:f>
        <x:v>65.84551148225471</x:v>
      </x:c>
      <x:c r="U14" s="37" t="n">
        <x:f>COUNTIFS($C$2:$C$93,C14,$G$2:$G$93,"&lt;"&amp;G14)+1</x:f>
        <x:v>3</x:v>
      </x:c>
      <x:c r="V14" s="37" t="n">
        <x:f>RANK.EQ(P14,$P$2:$P$93,0)</x:f>
        <x:v>42</x:v>
      </x:c>
      <x:c r="W14" s="38" t="str">
        <x:f>IF(G14&gt;M14*1.5,"Caution",IF(G14&lt;M14*0.7,"Discount","Fair"))</x:f>
        <x:v>Discount</x:v>
      </x:c>
      <x:c r="X14" s="38" t="str">
        <x:f>IF(I14&gt;O14*1.2,"Above Sector","Normal")</x:f>
        <x:v>Above Sector</x:v>
      </x:c>
      <x:c r="Y14" s="38" t="str">
        <x:f>IF(W14="Caution","P/E is more than 50% above sector median",IF(W14="Discount","P/E is more than 30% below sector median","P/E is within the normal sector range"))</x:f>
        <x:v>P/E is more than 30% below sector median</x:v>
      </x:c>
    </x:row>
    <x:row r="15">
      <x:c r="A15" s="26" t="str">
        <x:v>BAJAJHLDNG</x:v>
      </x:c>
      <x:c r="B15" s="26" t="str">
        <x:v>Bajaj Holdings &amp; Investment Ltd</x:v>
      </x:c>
      <x:c r="C15" s="26" t="str">
        <x:v>Financials</x:v>
      </x:c>
      <x:c r="D15" s="26" t="str">
        <x:v>Holding Companies</x:v>
      </x:c>
      <x:c r="E15" s="27" t="n">
        <x:v>2024</x:v>
      </x:c>
      <x:c r="F15" s="28" t="n">
        <x:v>2191568.13</x:v>
      </x:c>
      <x:c r="G15" s="29" t="n">
        <x:v>37.73</x:v>
      </x:c>
      <x:c r="H15" s="29" t="n">
        <x:v>9.38</x:v>
      </x:c>
      <x:c r="I15" s="29" t="n">
        <x:v>27.47</x:v>
      </x:c>
      <x:c r="J15" s="29" t="n">
        <x:v>37.73</x:v>
      </x:c>
      <x:c r="K15" s="29" t="n">
        <x:v>5.56</x:v>
      </x:c>
      <x:c r="L15" s="29" t="n">
        <x:v>9.94</x:v>
      </x:c>
      <x:c r="M15" s="29" t="n">
        <x:v>34.24</x:v>
      </x:c>
      <x:c r="N15" s="29" t="n">
        <x:v>6.59</x:v>
      </x:c>
      <x:c r="O15" s="29" t="n">
        <x:v>23.95</x:v>
      </x:c>
      <x:c r="P15" s="30" t="n">
        <x:v>3.37</x:v>
      </x:c>
      <x:c r="Q15" s="28" t="n">
        <x:v>1469</x:v>
      </x:c>
      <x:c r="R15" s="36" t="n">
        <x:f>IFERROR(Q15/F15*100,"")</x:f>
        <x:v>0.06702962960133939</x:v>
      </x:c>
      <x:c r="S15" s="36" t="n">
        <x:f>IFERROR((G15/J15-1)*100,"")</x:f>
        <x:v>0</x:v>
      </x:c>
      <x:c r="T15" s="36" t="n">
        <x:f>IFERROR((I15/O15-1)*100,"")</x:f>
        <x:v>14.697286012526089</x:v>
      </x:c>
      <x:c r="U15" s="37" t="n">
        <x:f>COUNTIFS($C$2:$C$93,C15,$G$2:$G$93,"&lt;"&amp;G15)+1</x:f>
        <x:v>15</x:v>
      </x:c>
      <x:c r="V15" s="37" t="n">
        <x:f>RANK.EQ(P15,$P$2:$P$93,0)</x:f>
        <x:v>25</x:v>
      </x:c>
      <x:c r="W15" s="38" t="str">
        <x:f>IF(G15&gt;M15*1.5,"Caution",IF(G15&lt;M15*0.7,"Discount","Fair"))</x:f>
        <x:v>Fair</x:v>
      </x:c>
      <x:c r="X15" s="38" t="str">
        <x:f>IF(I15&gt;O15*1.2,"Above Sector","Normal")</x:f>
        <x:v>Normal</x:v>
      </x:c>
      <x:c r="Y15" s="38" t="str">
        <x:f>IF(W15="Caution","P/E is more than 50% above sector median",IF(W15="Discount","P/E is more than 30% below sector median","P/E is within the normal sector range"))</x:f>
        <x:v>P/E is within the normal sector range</x:v>
      </x:c>
    </x:row>
    <x:row r="16">
      <x:c r="A16" s="26" t="str">
        <x:v>BAJFINANCE</x:v>
      </x:c>
      <x:c r="B16" s="26" t="str">
        <x:v>Bajaj Finance Ltd</x:v>
      </x:c>
      <x:c r="C16" s="26" t="str">
        <x:v>Financials</x:v>
      </x:c>
      <x:c r="D16" s="26" t="str">
        <x:v>Consumer Finance</x:v>
      </x:c>
      <x:c r="E16" s="27" t="n">
        <x:v>2024</x:v>
      </x:c>
      <x:c r="F16" s="28" t="n">
        <x:v>2473271.58</x:v>
      </x:c>
      <x:c r="G16" s="29" t="n">
        <x:v>69.2</x:v>
      </x:c>
      <x:c r="H16" s="29" t="n">
        <x:v>4.11</x:v>
      </x:c>
      <x:c r="I16" s="29" t="n">
        <x:v>15.96</x:v>
      </x:c>
      <x:c r="J16" s="29" t="n">
        <x:v>46.9</x:v>
      </x:c>
      <x:c r="K16" s="29" t="n">
        <x:v>6.39</x:v>
      </x:c>
      <x:c r="L16" s="29" t="n">
        <x:v>26.51</x:v>
      </x:c>
      <x:c r="M16" s="29" t="n">
        <x:v>34.24</x:v>
      </x:c>
      <x:c r="N16" s="29" t="n">
        <x:v>6.59</x:v>
      </x:c>
      <x:c r="O16" s="29" t="n">
        <x:v>23.95</x:v>
      </x:c>
      <x:c r="P16" s="30" t="n">
        <x:v>0.27</x:v>
      </x:c>
      <x:c r="Q16" s="28" t="n">
        <x:v>-79931</x:v>
      </x:c>
      <x:c r="R16" s="36" t="n">
        <x:f>IFERROR(Q16/F16*100,"")</x:f>
        <x:v>-3.2317922805711454</x:v>
      </x:c>
      <x:c r="S16" s="36" t="n">
        <x:f>IFERROR((G16/J16-1)*100,"")</x:f>
        <x:v>47.54797441364607</x:v>
      </x:c>
      <x:c r="T16" s="36" t="n">
        <x:f>IFERROR((I16/O16-1)*100,"")</x:f>
        <x:v>-33.36116910229645</x:v>
      </x:c>
      <x:c r="U16" s="37" t="n">
        <x:f>COUNTIFS($C$2:$C$93,C16,$G$2:$G$93,"&lt;"&amp;G16)+1</x:f>
        <x:v>22</x:v>
      </x:c>
      <x:c r="V16" s="37" t="n">
        <x:f>RANK.EQ(P16,$P$2:$P$93,0)</x:f>
        <x:v>89</x:v>
      </x:c>
      <x:c r="W16" s="38" t="str">
        <x:f>IF(G16&gt;M16*1.5,"Caution",IF(G16&lt;M16*0.7,"Discount","Fair"))</x:f>
        <x:v>Caution</x:v>
      </x:c>
      <x:c r="X16" s="38" t="str">
        <x:f>IF(I16&gt;O16*1.2,"Above Sector","Normal")</x:f>
        <x:v>Normal</x:v>
      </x:c>
      <x:c r="Y16" s="38" t="str">
        <x:f>IF(W16="Caution","P/E is more than 50% above sector median",IF(W16="Discount","P/E is more than 30% below sector median","P/E is within the normal sector range"))</x:f>
        <x:v>P/E is more than 50% above sector median</x:v>
      </x:c>
    </x:row>
    <x:row r="17">
      <x:c r="A17" s="26" t="str">
        <x:v>BANKBARODA</x:v>
      </x:c>
      <x:c r="B17" s="26" t="str">
        <x:v>Bank of Baroda</x:v>
      </x:c>
      <x:c r="C17" s="26" t="str">
        <x:v>Financials</x:v>
      </x:c>
      <x:c r="D17" s="26" t="str">
        <x:v>Public Sector Banks</x:v>
      </x:c>
      <x:c r="E17" s="27" t="n">
        <x:v>2024</x:v>
      </x:c>
      <x:c r="F17" s="28" t="n">
        <x:v>590971.02</x:v>
      </x:c>
      <x:c r="G17" s="29" t="n">
        <x:v>16.89</x:v>
      </x:c>
      <x:c r="H17" s="29" t="n">
        <x:v>4.15</x:v>
      </x:c>
      <x:c r="I17" s="29" t="n">
        <x:v>24.7</x:v>
      </x:c>
      <x:c r="J17" s="29" t="n">
        <x:v>67.24</x:v>
      </x:c>
      <x:c r="K17" s="29" t="n">
        <x:v>5.71</x:v>
      </x:c>
      <x:c r="L17" s="29" t="n">
        <x:v>18.25</x:v>
      </x:c>
      <x:c r="M17" s="29" t="n">
        <x:v>34.24</x:v>
      </x:c>
      <x:c r="N17" s="29" t="n">
        <x:v>6.59</x:v>
      </x:c>
      <x:c r="O17" s="29" t="n">
        <x:v>23.95</x:v>
      </x:c>
      <x:c r="P17" s="30" t="n">
        <x:v>2.62</x:v>
      </x:c>
      <x:c r="Q17" s="28" t="n">
        <x:v>-7559</x:v>
      </x:c>
      <x:c r="R17" s="36" t="n">
        <x:f>IFERROR(Q17/F17*100,"")</x:f>
        <x:v>-1.279081332956056</x:v>
      </x:c>
      <x:c r="S17" s="36" t="n">
        <x:f>IFERROR((G17/J17-1)*100,"")</x:f>
        <x:v>-74.88102320047591</x:v>
      </x:c>
      <x:c r="T17" s="36" t="n">
        <x:f>IFERROR((I17/O17-1)*100,"")</x:f>
        <x:v>3.131524008350728</x:v>
      </x:c>
      <x:c r="U17" s="37" t="n">
        <x:f>COUNTIFS($C$2:$C$93,C17,$G$2:$G$93,"&lt;"&amp;G17)+1</x:f>
        <x:v>5</x:v>
      </x:c>
      <x:c r="V17" s="37" t="n">
        <x:f>RANK.EQ(P17,$P$2:$P$93,0)</x:f>
        <x:v>39</x:v>
      </x:c>
      <x:c r="W17" s="38" t="str">
        <x:f>IF(G17&gt;M17*1.5,"Caution",IF(G17&lt;M17*0.7,"Discount","Fair"))</x:f>
        <x:v>Discount</x:v>
      </x:c>
      <x:c r="X17" s="38" t="str">
        <x:f>IF(I17&gt;O17*1.2,"Above Sector","Normal")</x:f>
        <x:v>Normal</x:v>
      </x:c>
      <x:c r="Y17" s="38" t="str">
        <x:f>IF(W17="Caution","P/E is more than 50% above sector median",IF(W17="Discount","P/E is more than 30% below sector median","P/E is within the normal sector range"))</x:f>
        <x:v>P/E is more than 30% below sector median</x:v>
      </x:c>
    </x:row>
    <x:row r="18">
      <x:c r="A18" s="26" t="str">
        <x:v>BEL</x:v>
      </x:c>
      <x:c r="B18" s="26" t="str">
        <x:v>Bharat Electronics Ltd</x:v>
      </x:c>
      <x:c r="C18" s="26" t="str">
        <x:v>Industrials</x:v>
      </x:c>
      <x:c r="D18" s="26" t="str">
        <x:v>Defence Electronics</x:v>
      </x:c>
      <x:c r="E18" s="27" t="n">
        <x:v>2024</x:v>
      </x:c>
      <x:c r="F18" s="28" t="n">
        <x:v>1354781.06</x:v>
      </x:c>
      <x:c r="G18" s="29" t="n">
        <x:v>17.89</x:v>
      </x:c>
      <x:c r="H18" s="29" t="n">
        <x:v>9.22</x:v>
      </x:c>
      <x:c r="I18" s="29" t="n">
        <x:v>23.14</x:v>
      </x:c>
      <x:c r="J18" s="29" t="n">
        <x:v>52.67</x:v>
      </x:c>
      <x:c r="K18" s="29" t="n">
        <x:v>7.89</x:v>
      </x:c>
      <x:c r="L18" s="29" t="n">
        <x:v>25.88</x:v>
      </x:c>
      <x:c r="M18" s="29" t="n">
        <x:v>47.155</x:v>
      </x:c>
      <x:c r="N18" s="29" t="n">
        <x:v>7.45</x:v>
      </x:c>
      <x:c r="O18" s="29" t="n">
        <x:v>22.365000000000002</x:v>
      </x:c>
      <x:c r="P18" s="30" t="n">
        <x:v>0.76</x:v>
      </x:c>
      <x:c r="Q18" s="28" t="n">
        <x:v>-1265</x:v>
      </x:c>
      <x:c r="R18" s="36" t="n">
        <x:f>IFERROR(Q18/F18*100,"")</x:f>
        <x:v>-0.09337302073000636</x:v>
      </x:c>
      <x:c r="S18" s="36" t="n">
        <x:f>IFERROR((G18/J18-1)*100,"")</x:f>
        <x:v>-66.03379532940954</x:v>
      </x:c>
      <x:c r="T18" s="36" t="n">
        <x:f>IFERROR((I18/O18-1)*100,"")</x:f>
        <x:v>3.465235859602056</x:v>
      </x:c>
      <x:c r="U18" s="37" t="n">
        <x:f>COUNTIFS($C$2:$C$93,C18,$G$2:$G$93,"&lt;"&amp;G18)+1</x:f>
        <x:v>1</x:v>
      </x:c>
      <x:c r="V18" s="37" t="n">
        <x:f>RANK.EQ(P18,$P$2:$P$93,0)</x:f>
        <x:v>81</x:v>
      </x:c>
      <x:c r="W18" s="38" t="str">
        <x:f>IF(G18&gt;M18*1.5,"Caution",IF(G18&lt;M18*0.7,"Discount","Fair"))</x:f>
        <x:v>Discount</x:v>
      </x:c>
      <x:c r="X18" s="38" t="str">
        <x:f>IF(I18&gt;O18*1.2,"Above Sector","Normal")</x:f>
        <x:v>Normal</x:v>
      </x:c>
      <x:c r="Y18" s="38" t="str">
        <x:f>IF(W18="Caution","P/E is more than 50% above sector median",IF(W18="Discount","P/E is more than 30% below sector median","P/E is within the normal sector range"))</x:f>
        <x:v>P/E is more than 30% below sector median</x:v>
      </x:c>
    </x:row>
    <x:row r="19">
      <x:c r="A19" s="26" t="str">
        <x:v>BHARTIARTL</x:v>
      </x:c>
      <x:c r="B19" s="26" t="str">
        <x:v>Bharti Airtel Ltd</x:v>
      </x:c>
      <x:c r="C19" s="26" t="str">
        <x:v>Communication Services</x:v>
      </x:c>
      <x:c r="D19" s="26" t="str">
        <x:v>Telecommunications</x:v>
      </x:c>
      <x:c r="E19" s="27" t="n">
        <x:v>2024</x:v>
      </x:c>
      <x:c r="F19" s="28" t="n">
        <x:v>378605.83</x:v>
      </x:c>
      <x:c r="G19" s="29" t="n">
        <x:v>63.78</x:v>
      </x:c>
      <x:c r="H19" s="29" t="n">
        <x:v>6.28</x:v>
      </x:c>
      <x:c r="I19" s="29" t="n">
        <x:v>39.71</x:v>
      </x:c>
      <x:c r="J19" s="29" t="n">
        <x:v>63.78</x:v>
      </x:c>
      <x:c r="K19" s="29" t="n">
        <x:v>6.28</x:v>
      </x:c>
      <x:c r="L19" s="29" t="n">
        <x:v>34.88</x:v>
      </x:c>
      <x:c r="M19" s="29" t="n">
        <x:v>48.33</x:v>
      </x:c>
      <x:c r="N19" s="29" t="n">
        <x:v>7.305</x:v>
      </x:c>
      <x:c r="O19" s="29" t="n">
        <x:v>25.79</x:v>
      </x:c>
      <x:c r="P19" s="30" t="n">
        <x:v>1.02</x:v>
      </x:c>
      <x:c r="Q19" s="28" t="n">
        <x:v>27809</x:v>
      </x:c>
      <x:c r="R19" s="36" t="n">
        <x:f>IFERROR(Q19/F19*100,"")</x:f>
        <x:v>7.345106122639473</x:v>
      </x:c>
      <x:c r="S19" s="36" t="n">
        <x:f>IFERROR((G19/J19-1)*100,"")</x:f>
        <x:v>0</x:v>
      </x:c>
      <x:c r="T19" s="36" t="n">
        <x:f>IFERROR((I19/O19-1)*100,"")</x:f>
        <x:v>53.97440868553704</x:v>
      </x:c>
      <x:c r="U19" s="37" t="n">
        <x:f>COUNTIFS($C$2:$C$93,C19,$G$2:$G$93,"&lt;"&amp;G19)+1</x:f>
        <x:v>2</x:v>
      </x:c>
      <x:c r="V19" s="37" t="n">
        <x:f>RANK.EQ(P19,$P$2:$P$93,0)</x:f>
        <x:v>73</x:v>
      </x:c>
      <x:c r="W19" s="38" t="str">
        <x:f>IF(G19&gt;M19*1.5,"Caution",IF(G19&lt;M19*0.7,"Discount","Fair"))</x:f>
        <x:v>Fair</x:v>
      </x:c>
      <x:c r="X19" s="38" t="str">
        <x:f>IF(I19&gt;O19*1.2,"Above Sector","Normal")</x:f>
        <x:v>Above Sector</x:v>
      </x:c>
      <x:c r="Y19" s="38" t="str">
        <x:f>IF(W19="Caution","P/E is more than 50% above sector median",IF(W19="Discount","P/E is more than 30% below sector median","P/E is within the normal sector range"))</x:f>
        <x:v>P/E is within the normal sector range</x:v>
      </x:c>
    </x:row>
    <x:row r="20">
      <x:c r="A20" s="26" t="str">
        <x:v>BHEL</x:v>
      </x:c>
      <x:c r="B20" s="26" t="str">
        <x:v>Bharat Heavy Electricals Limited
</x:v>
      </x:c>
      <x:c r="C20" s="26" t="str">
        <x:v>Industrials</x:v>
      </x:c>
      <x:c r="D20" s="26" t="str">
        <x:v>Capital Goods</x:v>
      </x:c>
      <x:c r="E20" s="27" t="n">
        <x:v>2024</x:v>
      </x:c>
      <x:c r="F20" s="28" t="n">
        <x:v>540053.85</x:v>
      </x:c>
      <x:c r="G20" s="29" t="n">
        <x:v>29.8</x:v>
      </x:c>
      <x:c r="H20" s="29" t="n">
        <x:v>11.43</x:v>
      </x:c>
      <x:c r="I20" s="29" t="n">
        <x:v>21.59</x:v>
      </x:c>
      <x:c r="J20" s="29" t="n">
        <x:v>31.13</x:v>
      </x:c>
      <x:c r="K20" s="29" t="n">
        <x:v>9.5</x:v>
      </x:c>
      <x:c r="L20" s="29" t="n">
        <x:v>34.44</x:v>
      </x:c>
      <x:c r="M20" s="29" t="n">
        <x:v>47.155</x:v>
      </x:c>
      <x:c r="N20" s="29" t="n">
        <x:v>7.45</x:v>
      </x:c>
      <x:c r="O20" s="29" t="n">
        <x:v>22.365000000000002</x:v>
      </x:c>
      <x:c r="P20" s="30" t="n">
        <x:v>4.04</x:v>
      </x:c>
      <x:c r="Q20" s="28" t="n">
        <x:v>-2382</x:v>
      </x:c>
      <x:c r="R20" s="36" t="n">
        <x:f>IFERROR(Q20/F20*100,"")</x:f>
        <x:v>-0.4410671269170658</x:v>
      </x:c>
      <x:c r="S20" s="36" t="n">
        <x:f>IFERROR((G20/J20-1)*100,"")</x:f>
        <x:v>-4.272406039190491</x:v>
      </x:c>
      <x:c r="T20" s="36" t="n">
        <x:f>IFERROR((I20/O20-1)*100,"")</x:f>
        <x:v>-3.465235859602067</x:v>
      </x:c>
      <x:c r="U20" s="37" t="n">
        <x:f>COUNTIFS($C$2:$C$93,C20,$G$2:$G$93,"&lt;"&amp;G20)+1</x:f>
        <x:v>2</x:v>
      </x:c>
      <x:c r="V20" s="37" t="n">
        <x:f>RANK.EQ(P20,$P$2:$P$93,0)</x:f>
        <x:v>13</x:v>
      </x:c>
      <x:c r="W20" s="38" t="str">
        <x:f>IF(G20&gt;M20*1.5,"Caution",IF(G20&lt;M20*0.7,"Discount","Fair"))</x:f>
        <x:v>Discount</x:v>
      </x:c>
      <x:c r="X20" s="38" t="str">
        <x:f>IF(I20&gt;O20*1.2,"Above Sector","Normal")</x:f>
        <x:v>Normal</x:v>
      </x:c>
      <x:c r="Y20" s="38" t="str">
        <x:f>IF(W20="Caution","P/E is more than 50% above sector median",IF(W20="Discount","P/E is more than 30% below sector median","P/E is within the normal sector range"))</x:f>
        <x:v>P/E is more than 30% below sector median</x:v>
      </x:c>
    </x:row>
    <x:row r="21">
      <x:c r="A21" s="26" t="str">
        <x:v>BOSCHLTD</x:v>
      </x:c>
      <x:c r="B21" s="26" t="str">
        <x:v>Bosch Ltd</x:v>
      </x:c>
      <x:c r="C21" s="26" t="str">
        <x:v>Consumer Discretionary</x:v>
      </x:c>
      <x:c r="D21" s="26" t="str">
        <x:v>Auto Ancillaries</x:v>
      </x:c>
      <x:c r="E21" s="27" t="n">
        <x:v>2024</x:v>
      </x:c>
      <x:c r="F21" s="28" t="n">
        <x:v>2599556.05</x:v>
      </x:c>
      <x:c r="G21" s="29" t="n">
        <x:v>58.43</x:v>
      </x:c>
      <x:c r="H21" s="29" t="n">
        <x:v>6.47</x:v>
      </x:c>
      <x:c r="I21" s="29" t="n">
        <x:v>16.07</x:v>
      </x:c>
      <x:c r="J21" s="29" t="n">
        <x:v>31.28</x:v>
      </x:c>
      <x:c r="K21" s="29" t="n">
        <x:v>6.04</x:v>
      </x:c>
      <x:c r="L21" s="29" t="n">
        <x:v>18.2</x:v>
      </x:c>
      <x:c r="M21" s="29" t="n">
        <x:v>38.005</x:v>
      </x:c>
      <x:c r="N21" s="29" t="n">
        <x:v>8.065</x:v>
      </x:c>
      <x:c r="O21" s="29" t="n">
        <x:v>26.455</x:v>
      </x:c>
      <x:c r="P21" s="30" t="n">
        <x:v>4.23</x:v>
      </x:c>
      <x:c r="Q21" s="28" t="n">
        <x:v>1536</x:v>
      </x:c>
      <x:c r="R21" s="36" t="n">
        <x:f>IFERROR(Q21/F21*100,"")</x:f>
        <x:v>0.05908701218425355</x:v>
      </x:c>
      <x:c r="S21" s="36" t="n">
        <x:f>IFERROR((G21/J21-1)*100,"")</x:f>
        <x:v>86.79667519181584</x:v>
      </x:c>
      <x:c r="T21" s="36" t="n">
        <x:f>IFERROR((I21/O21-1)*100,"")</x:f>
        <x:v>-39.25533925533925</x:v>
      </x:c>
      <x:c r="U21" s="37" t="n">
        <x:f>COUNTIFS($C$2:$C$93,C21,$G$2:$G$93,"&lt;"&amp;G21)+1</x:f>
        <x:v>10</x:v>
      </x:c>
      <x:c r="V21" s="37" t="n">
        <x:f>RANK.EQ(P21,$P$2:$P$93,0)</x:f>
        <x:v>9</x:v>
      </x:c>
      <x:c r="W21" s="38" t="str">
        <x:f>IF(G21&gt;M21*1.5,"Caution",IF(G21&lt;M21*0.7,"Discount","Fair"))</x:f>
        <x:v>Caution</x:v>
      </x:c>
      <x:c r="X21" s="38" t="str">
        <x:f>IF(I21&gt;O21*1.2,"Above Sector","Normal")</x:f>
        <x:v>Normal</x:v>
      </x:c>
      <x:c r="Y21" s="38" t="str">
        <x:f>IF(W21="Caution","P/E is more than 50% above sector median",IF(W21="Discount","P/E is more than 30% below sector median","P/E is within the normal sector range"))</x:f>
        <x:v>P/E is more than 50% above sector median</x:v>
      </x:c>
    </x:row>
    <x:row r="22">
      <x:c r="A22" s="26" t="str">
        <x:v>BPCL</x:v>
      </x:c>
      <x:c r="B22" s="26" t="str">
        <x:v>Bharat Petroleum Corporation Ltd</x:v>
      </x:c>
      <x:c r="C22" s="26" t="str">
        <x:v>Energy</x:v>
      </x:c>
      <x:c r="D22" s="26" t="str">
        <x:v>Oil &amp; Gas Refining</x:v>
      </x:c>
      <x:c r="E22" s="27" t="n">
        <x:v>2024</x:v>
      </x:c>
      <x:c r="F22" s="28" t="n">
        <x:v>468662.13</x:v>
      </x:c>
      <x:c r="G22" s="29" t="n">
        <x:v>68.15</x:v>
      </x:c>
      <x:c r="H22" s="29" t="n">
        <x:v>0.72</x:v>
      </x:c>
      <x:c r="I22" s="29" t="n">
        <x:v>26.59</x:v>
      </x:c>
      <x:c r="J22" s="29" t="n">
        <x:v>35.8</x:v>
      </x:c>
      <x:c r="K22" s="29" t="n">
        <x:v>4.29</x:v>
      </x:c>
      <x:c r="L22" s="29" t="n">
        <x:v>14.21</x:v>
      </x:c>
      <x:c r="M22" s="29" t="n">
        <x:v>44.915</x:v>
      </x:c>
      <x:c r="N22" s="29" t="n">
        <x:v>6</x:v>
      </x:c>
      <x:c r="O22" s="29" t="n">
        <x:v>24.86</x:v>
      </x:c>
      <x:c r="P22" s="30" t="n">
        <x:v>1.15</x:v>
      </x:c>
      <x:c r="Q22" s="28" t="n">
        <x:v>25415</x:v>
      </x:c>
      <x:c r="R22" s="36" t="n">
        <x:f>IFERROR(Q22/F22*100,"")</x:f>
        <x:v>5.422883218663305</x:v>
      </x:c>
      <x:c r="S22" s="36" t="n">
        <x:f>IFERROR((G22/J22-1)*100,"")</x:f>
        <x:v>90.36312849162013</x:v>
      </x:c>
      <x:c r="T22" s="36" t="n">
        <x:f>IFERROR((I22/O22-1)*100,"")</x:f>
        <x:v>6.958970233306516</x:v>
      </x:c>
      <x:c r="U22" s="37" t="n">
        <x:f>COUNTIFS($C$2:$C$93,C22,$G$2:$G$93,"&lt;"&amp;G22)+1</x:f>
        <x:v>13</x:v>
      </x:c>
      <x:c r="V22" s="37" t="n">
        <x:f>RANK.EQ(P22,$P$2:$P$93,0)</x:f>
        <x:v>70</x:v>
      </x:c>
      <x:c r="W22" s="38" t="str">
        <x:f>IF(G22&gt;M22*1.5,"Caution",IF(G22&lt;M22*0.7,"Discount","Fair"))</x:f>
        <x:v>Caution</x:v>
      </x:c>
      <x:c r="X22" s="38" t="str">
        <x:f>IF(I22&gt;O22*1.2,"Above Sector","Normal")</x:f>
        <x:v>Normal</x:v>
      </x:c>
      <x:c r="Y22" s="38" t="str">
        <x:f>IF(W22="Caution","P/E is more than 50% above sector median",IF(W22="Discount","P/E is more than 30% below sector median","P/E is within the normal sector range"))</x:f>
        <x:v>P/E is more than 50% above sector median</x:v>
      </x:c>
    </x:row>
    <x:row r="23">
      <x:c r="A23" s="26" t="str">
        <x:v>BRITANNIA</x:v>
      </x:c>
      <x:c r="B23" s="26" t="str">
        <x:v>Britannia Industries Ltd</x:v>
      </x:c>
      <x:c r="C23" s="26" t="str">
        <x:v>Consumer Staples</x:v>
      </x:c>
      <x:c r="D23" s="26" t="str">
        <x:v>Food Products</x:v>
      </x:c>
      <x:c r="E23" s="27" t="n">
        <x:v>2024</x:v>
      </x:c>
      <x:c r="F23" s="28" t="n">
        <x:v>324745.74</x:v>
      </x:c>
      <x:c r="G23" s="29" t="n">
        <x:v>63.91</x:v>
      </x:c>
      <x:c r="H23" s="29" t="n">
        <x:v>4.26</x:v>
      </x:c>
      <x:c r="I23" s="29" t="n">
        <x:v>33.95</x:v>
      </x:c>
      <x:c r="J23" s="29" t="n">
        <x:v>33.6</x:v>
      </x:c>
      <x:c r="K23" s="29" t="n">
        <x:v>4.57</x:v>
      </x:c>
      <x:c r="L23" s="29" t="n">
        <x:v>25.98</x:v>
      </x:c>
      <x:c r="M23" s="29" t="n">
        <x:v>50.95</x:v>
      </x:c>
      <x:c r="N23" s="29" t="n">
        <x:v>8.07</x:v>
      </x:c>
      <x:c r="O23" s="29" t="n">
        <x:v>17.19</x:v>
      </x:c>
      <x:c r="P23" s="30" t="n">
        <x:v>1.88</x:v>
      </x:c>
      <x:c r="Q23" s="28" t="n">
        <x:v>3050</x:v>
      </x:c>
      <x:c r="R23" s="36" t="n">
        <x:f>IFERROR(Q23/F23*100,"")</x:f>
        <x:v>0.9391963078561093</x:v>
      </x:c>
      <x:c r="S23" s="36" t="n">
        <x:f>IFERROR((G23/J23-1)*100,"")</x:f>
        <x:v>90.20833333333331</x:v>
      </x:c>
      <x:c r="T23" s="36" t="n">
        <x:f>IFERROR((I23/O23-1)*100,"")</x:f>
        <x:v>97.49854566608494</x:v>
      </x:c>
      <x:c r="U23" s="37" t="n">
        <x:f>COUNTIFS($C$2:$C$93,C23,$G$2:$G$93,"&lt;"&amp;G23)+1</x:f>
        <x:v>7</x:v>
      </x:c>
      <x:c r="V23" s="37" t="n">
        <x:f>RANK.EQ(P23,$P$2:$P$93,0)</x:f>
        <x:v>52</x:v>
      </x:c>
      <x:c r="W23" s="38" t="str">
        <x:f>IF(G23&gt;M23*1.5,"Caution",IF(G23&lt;M23*0.7,"Discount","Fair"))</x:f>
        <x:v>Fair</x:v>
      </x:c>
      <x:c r="X23" s="38" t="str">
        <x:f>IF(I23&gt;O23*1.2,"Above Sector","Normal")</x:f>
        <x:v>Above Sector</x:v>
      </x:c>
      <x:c r="Y23" s="38" t="str">
        <x:f>IF(W23="Caution","P/E is more than 50% above sector median",IF(W23="Discount","P/E is more than 30% below sector median","P/E is within the normal sector range"))</x:f>
        <x:v>P/E is within the normal sector range</x:v>
      </x:c>
    </x:row>
    <x:row r="24">
      <x:c r="A24" s="26" t="str">
        <x:v>CANBK</x:v>
      </x:c>
      <x:c r="B24" s="26" t="str">
        <x:v>Canara Bank</x:v>
      </x:c>
      <x:c r="C24" s="26" t="str">
        <x:v>Financials</x:v>
      </x:c>
      <x:c r="D24" s="26" t="str">
        <x:v>Public Sector Banks</x:v>
      </x:c>
      <x:c r="E24" s="27" t="n">
        <x:v>2024</x:v>
      </x:c>
      <x:c r="F24" s="28" t="n">
        <x:v>496415.88</x:v>
      </x:c>
      <x:c r="G24" s="29" t="n">
        <x:v>36.74</x:v>
      </x:c>
      <x:c r="H24" s="29" t="n">
        <x:v>12.61</x:v>
      </x:c>
      <x:c r="I24" s="29" t="n">
        <x:v>25.23</x:v>
      </x:c>
      <x:c r="J24" s="29" t="n">
        <x:v>36.74</x:v>
      </x:c>
      <x:c r="K24" s="29" t="n">
        <x:v>11.66</x:v>
      </x:c>
      <x:c r="L24" s="29" t="n">
        <x:v>25.23</x:v>
      </x:c>
      <x:c r="M24" s="29" t="n">
        <x:v>34.24</x:v>
      </x:c>
      <x:c r="N24" s="29" t="n">
        <x:v>6.59</x:v>
      </x:c>
      <x:c r="O24" s="29" t="n">
        <x:v>23.95</x:v>
      </x:c>
      <x:c r="P24" s="30" t="n">
        <x:v>3.81</x:v>
      </x:c>
      <x:c r="Q24" s="28" t="n">
        <x:v>13296</x:v>
      </x:c>
      <x:c r="R24" s="36" t="n">
        <x:f>IFERROR(Q24/F24*100,"")</x:f>
        <x:v>2.6783994097851984</x:v>
      </x:c>
      <x:c r="S24" s="36" t="n">
        <x:f>IFERROR((G24/J24-1)*100,"")</x:f>
        <x:v>0</x:v>
      </x:c>
      <x:c r="T24" s="36" t="n">
        <x:f>IFERROR((I24/O24-1)*100,"")</x:f>
        <x:v>5.344467640918582</x:v>
      </x:c>
      <x:c r="U24" s="37" t="n">
        <x:f>COUNTIFS($C$2:$C$93,C24,$G$2:$G$93,"&lt;"&amp;G24)+1</x:f>
        <x:v>14</x:v>
      </x:c>
      <x:c r="V24" s="37" t="n">
        <x:f>RANK.EQ(P24,$P$2:$P$93,0)</x:f>
        <x:v>16</x:v>
      </x:c>
      <x:c r="W24" s="38" t="str">
        <x:f>IF(G24&gt;M24*1.5,"Caution",IF(G24&lt;M24*0.7,"Discount","Fair"))</x:f>
        <x:v>Fair</x:v>
      </x:c>
      <x:c r="X24" s="38" t="str">
        <x:f>IF(I24&gt;O24*1.2,"Above Sector","Normal")</x:f>
        <x:v>Normal</x:v>
      </x:c>
      <x:c r="Y24" s="38" t="str">
        <x:f>IF(W24="Caution","P/E is more than 50% above sector median",IF(W24="Discount","P/E is more than 30% below sector median","P/E is within the normal sector range"))</x:f>
        <x:v>P/E is within the normal sector range</x:v>
      </x:c>
    </x:row>
    <x:row r="25">
      <x:c r="A25" s="26" t="str">
        <x:v>CHOLAFIN</x:v>
      </x:c>
      <x:c r="B25" s="26" t="str">
        <x:v>Cholamandalam Investment &amp; Finance Company Ltd</x:v>
      </x:c>
      <x:c r="C25" s="26" t="str">
        <x:v>Financials</x:v>
      </x:c>
      <x:c r="D25" s="26" t="str">
        <x:v>Consumer Finance</x:v>
      </x:c>
      <x:c r="E25" s="27" t="n">
        <x:v>2024</x:v>
      </x:c>
      <x:c r="F25" s="28" t="n">
        <x:v>971931.96</x:v>
      </x:c>
      <x:c r="G25" s="29" t="n">
        <x:v>16.79</x:v>
      </x:c>
      <x:c r="H25" s="29" t="n">
        <x:v>10.36</x:v>
      </x:c>
      <x:c r="I25" s="29" t="n">
        <x:v>13.52</x:v>
      </x:c>
      <x:c r="J25" s="29" t="n">
        <x:v>33.3</x:v>
      </x:c>
      <x:c r="K25" s="29" t="n">
        <x:v>10.36</x:v>
      </x:c>
      <x:c r="L25" s="29" t="n">
        <x:v>13.92</x:v>
      </x:c>
      <x:c r="M25" s="29" t="n">
        <x:v>34.24</x:v>
      </x:c>
      <x:c r="N25" s="29" t="n">
        <x:v>6.59</x:v>
      </x:c>
      <x:c r="O25" s="29" t="n">
        <x:v>23.95</x:v>
      </x:c>
      <x:c r="P25" s="30" t="n">
        <x:v>2.83</x:v>
      </x:c>
      <x:c r="Q25" s="28" t="n">
        <x:v>-38538</x:v>
      </x:c>
      <x:c r="R25" s="36" t="n">
        <x:f>IFERROR(Q25/F25*100,"")</x:f>
        <x:v>-3.9650923712808046</x:v>
      </x:c>
      <x:c r="S25" s="36" t="n">
        <x:f>IFERROR((G25/J25-1)*100,"")</x:f>
        <x:v>-49.57957957957958</x:v>
      </x:c>
      <x:c r="T25" s="36" t="n">
        <x:f>IFERROR((I25/O25-1)*100,"")</x:f>
        <x:v>-43.54906054279749</x:v>
      </x:c>
      <x:c r="U25" s="37" t="n">
        <x:f>COUNTIFS($C$2:$C$93,C25,$G$2:$G$93,"&lt;"&amp;G25)+1</x:f>
        <x:v>4</x:v>
      </x:c>
      <x:c r="V25" s="37" t="n">
        <x:f>RANK.EQ(P25,$P$2:$P$93,0)</x:f>
        <x:v>36</x:v>
      </x:c>
      <x:c r="W25" s="38" t="str">
        <x:f>IF(G25&gt;M25*1.5,"Caution",IF(G25&lt;M25*0.7,"Discount","Fair"))</x:f>
        <x:v>Discount</x:v>
      </x:c>
      <x:c r="X25" s="38" t="str">
        <x:f>IF(I25&gt;O25*1.2,"Above Sector","Normal")</x:f>
        <x:v>Normal</x:v>
      </x:c>
      <x:c r="Y25" s="38" t="str">
        <x:f>IF(W25="Caution","P/E is more than 50% above sector median",IF(W25="Discount","P/E is more than 30% below sector median","P/E is within the normal sector range"))</x:f>
        <x:v>P/E is more than 30% below sector median</x:v>
      </x:c>
    </x:row>
    <x:row r="26">
      <x:c r="A26" s="26" t="str">
        <x:v>CIPLA</x:v>
      </x:c>
      <x:c r="B26" s="26" t="str">
        <x:v>Cipla Ltd
</x:v>
      </x:c>
      <x:c r="C26" s="26" t="str">
        <x:v>Healthcare</x:v>
      </x:c>
      <x:c r="D26" s="26" t="str">
        <x:v>Pharmaceuticals</x:v>
      </x:c>
      <x:c r="E26" s="27" t="n">
        <x:v>2024</x:v>
      </x:c>
      <x:c r="F26" s="28" t="n">
        <x:v>439803.15</x:v>
      </x:c>
      <x:c r="G26" s="29" t="n">
        <x:v>59.75</x:v>
      </x:c>
      <x:c r="H26" s="29" t="n">
        <x:v>5.93</x:v>
      </x:c>
      <x:c r="I26" s="29" t="n">
        <x:v>33.7</x:v>
      </x:c>
      <x:c r="J26" s="29" t="n">
        <x:v>41.07</x:v>
      </x:c>
      <x:c r="K26" s="29" t="n">
        <x:v>10.46</x:v>
      </x:c>
      <x:c r="L26" s="29" t="n">
        <x:v>15.61</x:v>
      </x:c>
      <x:c r="M26" s="29" t="n">
        <x:v>47.06</x:v>
      </x:c>
      <x:c r="N26" s="29" t="n">
        <x:v>7.195</x:v>
      </x:c>
      <x:c r="O26" s="29" t="n">
        <x:v>24.67</x:v>
      </x:c>
      <x:c r="P26" s="30" t="n">
        <x:v>0.12</x:v>
      </x:c>
      <x:c r="Q26" s="28" t="n">
        <x:v>1152</x:v>
      </x:c>
      <x:c r="R26" s="36" t="n">
        <x:f>IFERROR(Q26/F26*100,"")</x:f>
        <x:v>0.26193536813003726</x:v>
      </x:c>
      <x:c r="S26" s="36" t="n">
        <x:f>IFERROR((G26/J26-1)*100,"")</x:f>
        <x:v>45.48332115899682</x:v>
      </x:c>
      <x:c r="T26" s="36" t="n">
        <x:f>IFERROR((I26/O26-1)*100,"")</x:f>
        <x:v>36.6031617349007</x:v>
      </x:c>
      <x:c r="U26" s="37" t="n">
        <x:f>COUNTIFS($C$2:$C$93,C26,$G$2:$G$93,"&lt;"&amp;G26)+1</x:f>
        <x:v>5</x:v>
      </x:c>
      <x:c r="V26" s="37" t="n">
        <x:f>RANK.EQ(P26,$P$2:$P$93,0)</x:f>
        <x:v>90</x:v>
      </x:c>
      <x:c r="W26" s="38" t="str">
        <x:f>IF(G26&gt;M26*1.5,"Caution",IF(G26&lt;M26*0.7,"Discount","Fair"))</x:f>
        <x:v>Fair</x:v>
      </x:c>
      <x:c r="X26" s="38" t="str">
        <x:f>IF(I26&gt;O26*1.2,"Above Sector","Normal")</x:f>
        <x:v>Above Sector</x:v>
      </x:c>
      <x:c r="Y26" s="38" t="str">
        <x:f>IF(W26="Caution","P/E is more than 50% above sector median",IF(W26="Discount","P/E is more than 30% below sector median","P/E is within the normal sector range"))</x:f>
        <x:v>P/E is within the normal sector range</x:v>
      </x:c>
    </x:row>
    <x:row r="27">
      <x:c r="A27" s="26" t="str">
        <x:v>COALINDIA</x:v>
      </x:c>
      <x:c r="B27" s="26" t="str">
        <x:v>Coal India Ltd</x:v>
      </x:c>
      <x:c r="C27" s="26" t="str">
        <x:v>Materials</x:v>
      </x:c>
      <x:c r="D27" s="26" t="str">
        <x:v>Mining &amp; Metals</x:v>
      </x:c>
      <x:c r="E27" s="27" t="n">
        <x:v>2024</x:v>
      </x:c>
      <x:c r="F27" s="28" t="n">
        <x:v>454024.84</x:v>
      </x:c>
      <x:c r="G27" s="29" t="n">
        <x:v>34.27</x:v>
      </x:c>
      <x:c r="H27" s="29" t="n">
        <x:v>14.75</x:v>
      </x:c>
      <x:c r="I27" s="29" t="n">
        <x:v>25.15</x:v>
      </x:c>
      <x:c r="J27" s="29" t="n">
        <x:v>32.17</x:v>
      </x:c>
      <x:c r="K27" s="29" t="n">
        <x:v>9.72</x:v>
      </x:c>
      <x:c r="L27" s="29" t="n">
        <x:v>21.27</x:v>
      </x:c>
      <x:c r="M27" s="29" t="n">
        <x:v>55.62</x:v>
      </x:c>
      <x:c r="N27" s="29" t="n">
        <x:v>9.21</x:v>
      </x:c>
      <x:c r="O27" s="29" t="n">
        <x:v>26.58</x:v>
      </x:c>
      <x:c r="P27" s="30" t="n">
        <x:v>4.38</x:v>
      </x:c>
      <x:c r="Q27" s="28" t="n">
        <x:v>13617</x:v>
      </x:c>
      <x:c r="R27" s="36" t="n">
        <x:f>IFERROR(Q27/F27*100,"")</x:f>
        <x:v>2.9991751112119767</x:v>
      </x:c>
      <x:c r="S27" s="36" t="n">
        <x:f>IFERROR((G27/J27-1)*100,"")</x:f>
        <x:v>6.527820951196772</x:v>
      </x:c>
      <x:c r="T27" s="36" t="n">
        <x:f>IFERROR((I27/O27-1)*100,"")</x:f>
        <x:v>-5.379984951091044</x:v>
      </x:c>
      <x:c r="U27" s="37" t="n">
        <x:f>COUNTIFS($C$2:$C$93,C27,$G$2:$G$93,"&lt;"&amp;G27)+1</x:f>
        <x:v>2</x:v>
      </x:c>
      <x:c r="V27" s="37" t="n">
        <x:f>RANK.EQ(P27,$P$2:$P$93,0)</x:f>
        <x:v>3</x:v>
      </x:c>
      <x:c r="W27" s="38" t="str">
        <x:f>IF(G27&gt;M27*1.5,"Caution",IF(G27&lt;M27*0.7,"Discount","Fair"))</x:f>
        <x:v>Discount</x:v>
      </x:c>
      <x:c r="X27" s="38" t="str">
        <x:f>IF(I27&gt;O27*1.2,"Above Sector","Normal")</x:f>
        <x:v>Normal</x:v>
      </x:c>
      <x:c r="Y27" s="38" t="str">
        <x:f>IF(W27="Caution","P/E is more than 50% above sector median",IF(W27="Discount","P/E is more than 30% below sector median","P/E is within the normal sector range"))</x:f>
        <x:v>P/E is more than 30% below sector median</x:v>
      </x:c>
    </x:row>
    <x:row r="28">
      <x:c r="A28" s="26" t="str">
        <x:v>DABUR</x:v>
      </x:c>
      <x:c r="B28" s="26" t="str">
        <x:v>Dabur India Ltd</x:v>
      </x:c>
      <x:c r="C28" s="26" t="str">
        <x:v>Consumer Staples</x:v>
      </x:c>
      <x:c r="D28" s="26" t="str">
        <x:v>Personal Products</x:v>
      </x:c>
      <x:c r="E28" s="27" t="n">
        <x:v>2024</x:v>
      </x:c>
      <x:c r="F28" s="28" t="n">
        <x:v>56521.84</x:v>
      </x:c>
      <x:c r="G28" s="29" t="n">
        <x:v>50.95</x:v>
      </x:c>
      <x:c r="H28" s="29" t="n">
        <x:v>13.59</x:v>
      </x:c>
      <x:c r="I28" s="29" t="n">
        <x:v>12.02</x:v>
      </x:c>
      <x:c r="J28" s="29" t="n">
        <x:v>50.95</x:v>
      </x:c>
      <x:c r="K28" s="29" t="n">
        <x:v>11.51</x:v>
      </x:c>
      <x:c r="L28" s="29" t="n">
        <x:v>12.02</x:v>
      </x:c>
      <x:c r="M28" s="29" t="n">
        <x:v>50.95</x:v>
      </x:c>
      <x:c r="N28" s="29" t="n">
        <x:v>8.07</x:v>
      </x:c>
      <x:c r="O28" s="29" t="n">
        <x:v>17.19</x:v>
      </x:c>
      <x:c r="P28" s="30" t="n">
        <x:v>3.42</x:v>
      </x:c>
      <x:c r="Q28" s="28" t="n">
        <x:v>1042</x:v>
      </x:c>
      <x:c r="R28" s="36" t="n">
        <x:f>IFERROR(Q28/F28*100,"")</x:f>
        <x:v>1.8435351715372323</x:v>
      </x:c>
      <x:c r="S28" s="36" t="n">
        <x:f>IFERROR((G28/J28-1)*100,"")</x:f>
        <x:v>0</x:v>
      </x:c>
      <x:c r="T28" s="36" t="n">
        <x:f>IFERROR((I28/O28-1)*100,"")</x:f>
        <x:v>-30.07562536358349</x:v>
      </x:c>
      <x:c r="U28" s="37" t="n">
        <x:f>COUNTIFS($C$2:$C$93,C28,$G$2:$G$93,"&lt;"&amp;G28)+1</x:f>
        <x:v>4</x:v>
      </x:c>
      <x:c r="V28" s="37" t="n">
        <x:f>RANK.EQ(P28,$P$2:$P$93,0)</x:f>
        <x:v>24</x:v>
      </x:c>
      <x:c r="W28" s="38" t="str">
        <x:f>IF(G28&gt;M28*1.5,"Caution",IF(G28&lt;M28*0.7,"Discount","Fair"))</x:f>
        <x:v>Fair</x:v>
      </x:c>
      <x:c r="X28" s="38" t="str">
        <x:f>IF(I28&gt;O28*1.2,"Above Sector","Normal")</x:f>
        <x:v>Normal</x:v>
      </x:c>
      <x:c r="Y28" s="38" t="str">
        <x:f>IF(W28="Caution","P/E is more than 50% above sector median",IF(W28="Discount","P/E is more than 30% below sector median","P/E is within the normal sector range"))</x:f>
        <x:v>P/E is within the normal sector range</x:v>
      </x:c>
    </x:row>
    <x:row r="29">
      <x:c r="A29" s="26" t="str">
        <x:v>DIVISLAB</x:v>
      </x:c>
      <x:c r="B29" s="26" t="str">
        <x:v>Divis Laboratories Ltd</x:v>
      </x:c>
      <x:c r="C29" s="26" t="str">
        <x:v>Healthcare</x:v>
      </x:c>
      <x:c r="D29" s="26" t="str">
        <x:v>Pharmaceuticals</x:v>
      </x:c>
      <x:c r="E29" s="27" t="n">
        <x:v>2024</x:v>
      </x:c>
      <x:c r="F29" s="28" t="n">
        <x:v>1615028.67</x:v>
      </x:c>
      <x:c r="G29" s="29" t="n">
        <x:v>69.95</x:v>
      </x:c>
      <x:c r="H29" s="29" t="n">
        <x:v>12.34</x:v>
      </x:c>
      <x:c r="I29" s="29" t="n">
        <x:v>31.81</x:v>
      </x:c>
      <x:c r="J29" s="29" t="n">
        <x:v>30.35</x:v>
      </x:c>
      <x:c r="K29" s="29" t="n">
        <x:v>3.22</x:v>
      </x:c>
      <x:c r="L29" s="29" t="n">
        <x:v>21.89</x:v>
      </x:c>
      <x:c r="M29" s="29" t="n">
        <x:v>47.06</x:v>
      </x:c>
      <x:c r="N29" s="29" t="n">
        <x:v>7.195</x:v>
      </x:c>
      <x:c r="O29" s="29" t="n">
        <x:v>24.67</x:v>
      </x:c>
      <x:c r="P29" s="30" t="n">
        <x:v>1.39</x:v>
      </x:c>
      <x:c r="Q29" s="28" t="n">
        <x:v>992</x:v>
      </x:c>
      <x:c r="R29" s="36" t="n">
        <x:f>IFERROR(Q29/F29*100,"")</x:f>
        <x:v>0.061423058204904804</x:v>
      </x:c>
      <x:c r="S29" s="36" t="n">
        <x:f>IFERROR((G29/J29-1)*100,"")</x:f>
        <x:v>130.47775947281713</x:v>
      </x:c>
      <x:c r="T29" s="36" t="n">
        <x:f>IFERROR((I29/O29-1)*100,"")</x:f>
        <x:v>28.94203486015401</x:v>
      </x:c>
      <x:c r="U29" s="37" t="n">
        <x:f>COUNTIFS($C$2:$C$93,C29,$G$2:$G$93,"&lt;"&amp;G29)+1</x:f>
        <x:v>6</x:v>
      </x:c>
      <x:c r="V29" s="37" t="n">
        <x:f>RANK.EQ(P29,$P$2:$P$93,0)</x:f>
        <x:v>63</x:v>
      </x:c>
      <x:c r="W29" s="38" t="str">
        <x:f>IF(G29&gt;M29*1.5,"Caution",IF(G29&lt;M29*0.7,"Discount","Fair"))</x:f>
        <x:v>Fair</x:v>
      </x:c>
      <x:c r="X29" s="38" t="str">
        <x:f>IF(I29&gt;O29*1.2,"Above Sector","Normal")</x:f>
        <x:v>Above Sector</x:v>
      </x:c>
      <x:c r="Y29" s="38" t="str">
        <x:f>IF(W29="Caution","P/E is more than 50% above sector median",IF(W29="Discount","P/E is more than 30% below sector median","P/E is within the normal sector range"))</x:f>
        <x:v>P/E is within the normal sector range</x:v>
      </x:c>
    </x:row>
    <x:row r="30">
      <x:c r="A30" s="26" t="str">
        <x:v>DLF</x:v>
      </x:c>
      <x:c r="B30" s="26" t="str">
        <x:v>DLF Ltd</x:v>
      </x:c>
      <x:c r="C30" s="26" t="str">
        <x:v>Real Estate</x:v>
      </x:c>
      <x:c r="D30" s="26" t="str">
        <x:v>Real Estate</x:v>
      </x:c>
      <x:c r="E30" s="27" t="n">
        <x:v>2024</x:v>
      </x:c>
      <x:c r="F30" s="28" t="n">
        <x:v>1381712.03</x:v>
      </x:c>
      <x:c r="G30" s="29" t="n">
        <x:v>46.26</x:v>
      </x:c>
      <x:c r="H30" s="29" t="n">
        <x:v>14.32</x:v>
      </x:c>
      <x:c r="I30" s="29" t="n">
        <x:v>10.41</x:v>
      </x:c>
      <x:c r="J30" s="29" t="n">
        <x:v>46.26</x:v>
      </x:c>
      <x:c r="K30" s="29" t="n">
        <x:v>10.93</x:v>
      </x:c>
      <x:c r="L30" s="29" t="n">
        <x:v>14.05</x:v>
      </x:c>
      <x:c r="M30" s="29" t="n">
        <x:v>49.105000000000004</x:v>
      </x:c>
      <x:c r="N30" s="29" t="n">
        <x:v>10.985</x:v>
      </x:c>
      <x:c r="O30" s="29" t="n">
        <x:v>22.369999999999997</x:v>
      </x:c>
      <x:c r="P30" s="30" t="n">
        <x:v>2.58</x:v>
      </x:c>
      <x:c r="Q30" s="28" t="n">
        <x:v>1010</x:v>
      </x:c>
      <x:c r="R30" s="36" t="n">
        <x:f>IFERROR(Q30/F30*100,"")</x:f>
        <x:v>0.07309772065891328</x:v>
      </x:c>
      <x:c r="S30" s="36" t="n">
        <x:f>IFERROR((G30/J30-1)*100,"")</x:f>
        <x:v>0</x:v>
      </x:c>
      <x:c r="T30" s="36" t="n">
        <x:f>IFERROR((I30/O30-1)*100,"")</x:f>
        <x:v>-53.464461332141255</x:v>
      </x:c>
      <x:c r="U30" s="37" t="n">
        <x:f>COUNTIFS($C$2:$C$93,C30,$G$2:$G$93,"&lt;"&amp;G30)+1</x:f>
        <x:v>1</x:v>
      </x:c>
      <x:c r="V30" s="37" t="n">
        <x:f>RANK.EQ(P30,$P$2:$P$93,0)</x:f>
        <x:v>41</x:v>
      </x:c>
      <x:c r="W30" s="38" t="str">
        <x:f>IF(G30&gt;M30*1.5,"Caution",IF(G30&lt;M30*0.7,"Discount","Fair"))</x:f>
        <x:v>Fair</x:v>
      </x:c>
      <x:c r="X30" s="38" t="str">
        <x:f>IF(I30&gt;O30*1.2,"Above Sector","Normal")</x:f>
        <x:v>Normal</x:v>
      </x:c>
      <x:c r="Y30" s="38" t="str">
        <x:f>IF(W30="Caution","P/E is more than 50% above sector median",IF(W30="Discount","P/E is more than 30% below sector median","P/E is within the normal sector range"))</x:f>
        <x:v>P/E is within the normal sector range</x:v>
      </x:c>
    </x:row>
    <x:row r="31">
      <x:c r="A31" s="26" t="str">
        <x:v>DMART</x:v>
      </x:c>
      <x:c r="B31" s="26" t="str">
        <x:v>Avenue Supermarts Ltd</x:v>
      </x:c>
      <x:c r="C31" s="26" t="str">
        <x:v>Consumer Discretionary</x:v>
      </x:c>
      <x:c r="D31" s="26" t="str">
        <x:v>Retail</x:v>
      </x:c>
      <x:c r="E31" s="27" t="n">
        <x:v>2024</x:v>
      </x:c>
      <x:c r="F31" s="28" t="n">
        <x:v>3053088.97</x:v>
      </x:c>
      <x:c r="G31" s="29" t="n">
        <x:v>72.53</x:v>
      </x:c>
      <x:c r="H31" s="29" t="n">
        <x:v>11.71</x:v>
      </x:c>
      <x:c r="I31" s="29" t="n">
        <x:v>36.84</x:v>
      </x:c>
      <x:c r="J31" s="29" t="n">
        <x:v>37.82</x:v>
      </x:c>
      <x:c r="K31" s="29" t="n">
        <x:v>11.71</x:v>
      </x:c>
      <x:c r="L31" s="29" t="n">
        <x:v>27.62</x:v>
      </x:c>
      <x:c r="M31" s="29" t="n">
        <x:v>38.005</x:v>
      </x:c>
      <x:c r="N31" s="29" t="n">
        <x:v>8.065</x:v>
      </x:c>
      <x:c r="O31" s="29" t="n">
        <x:v>26.455</x:v>
      </x:c>
      <x:c r="P31" s="30" t="n">
        <x:v>1.94</x:v>
      </x:c>
      <x:c r="Q31" s="28" t="n">
        <x:v>278</x:v>
      </x:c>
      <x:c r="R31" s="36" t="n">
        <x:f>IFERROR(Q31/F31*100,"")</x:f>
        <x:v>0.00910553222430331</x:v>
      </x:c>
      <x:c r="S31" s="36" t="n">
        <x:f>IFERROR((G31/J31-1)*100,"")</x:f>
        <x:v>91.77683765203597</x:v>
      </x:c>
      <x:c r="T31" s="36" t="n">
        <x:f>IFERROR((I31/O31-1)*100,"")</x:f>
        <x:v>39.25533925533928</x:v>
      </x:c>
      <x:c r="U31" s="37" t="n">
        <x:f>COUNTIFS($C$2:$C$93,C31,$G$2:$G$93,"&lt;"&amp;G31)+1</x:f>
        <x:v>13</x:v>
      </x:c>
      <x:c r="V31" s="37" t="n">
        <x:f>RANK.EQ(P31,$P$2:$P$93,0)</x:f>
        <x:v>49</x:v>
      </x:c>
      <x:c r="W31" s="38" t="str">
        <x:f>IF(G31&gt;M31*1.5,"Caution",IF(G31&lt;M31*0.7,"Discount","Fair"))</x:f>
        <x:v>Caution</x:v>
      </x:c>
      <x:c r="X31" s="38" t="str">
        <x:f>IF(I31&gt;O31*1.2,"Above Sector","Normal")</x:f>
        <x:v>Above Sector</x:v>
      </x:c>
      <x:c r="Y31" s="38" t="str">
        <x:f>IF(W31="Caution","P/E is more than 50% above sector median",IF(W31="Discount","P/E is more than 30% below sector median","P/E is within the normal sector range"))</x:f>
        <x:v>P/E is more than 50% above sector median</x:v>
      </x:c>
    </x:row>
    <x:row r="32">
      <x:c r="A32" s="26" t="str">
        <x:v>DRREDDY</x:v>
      </x:c>
      <x:c r="B32" s="26" t="str">
        <x:v>Dr Reddys Laboratories Ltd</x:v>
      </x:c>
      <x:c r="C32" s="26" t="str">
        <x:v>Healthcare</x:v>
      </x:c>
      <x:c r="D32" s="26" t="str">
        <x:v>Pharmaceuticals</x:v>
      </x:c>
      <x:c r="E32" s="27" t="n">
        <x:v>2024</x:v>
      </x:c>
      <x:c r="F32" s="28" t="n">
        <x:v>2441803.28</x:v>
      </x:c>
      <x:c r="G32" s="29" t="n">
        <x:v>11.73</x:v>
      </x:c>
      <x:c r="H32" s="29" t="n">
        <x:v>10.19</x:v>
      </x:c>
      <x:c r="I32" s="29" t="n">
        <x:v>14.56</x:v>
      </x:c>
      <x:c r="J32" s="29" t="n">
        <x:v>13.03</x:v>
      </x:c>
      <x:c r="K32" s="29" t="n">
        <x:v>7.54</x:v>
      </x:c>
      <x:c r="L32" s="29" t="n">
        <x:v>16.33</x:v>
      </x:c>
      <x:c r="M32" s="29" t="n">
        <x:v>47.06</x:v>
      </x:c>
      <x:c r="N32" s="29" t="n">
        <x:v>7.195</x:v>
      </x:c>
      <x:c r="O32" s="29" t="n">
        <x:v>24.67</x:v>
      </x:c>
      <x:c r="P32" s="30" t="n">
        <x:v>0.09</x:v>
      </x:c>
      <x:c r="Q32" s="28" t="n">
        <x:v>509</x:v>
      </x:c>
      <x:c r="R32" s="36" t="n">
        <x:f>IFERROR(Q32/F32*100,"")</x:f>
        <x:v>0.020845250072724943</x:v>
      </x:c>
      <x:c r="S32" s="36" t="n">
        <x:f>IFERROR((G32/J32-1)*100,"")</x:f>
        <x:v>-9.976976208749033</x:v>
      </x:c>
      <x:c r="T32" s="36" t="n">
        <x:f>IFERROR((I32/O32-1)*100,"")</x:f>
        <x:v>-40.98094852047021</x:v>
      </x:c>
      <x:c r="U32" s="37" t="n">
        <x:f>COUNTIFS($C$2:$C$93,C32,$G$2:$G$93,"&lt;"&amp;G32)+1</x:f>
        <x:v>1</x:v>
      </x:c>
      <x:c r="V32" s="37" t="n">
        <x:f>RANK.EQ(P32,$P$2:$P$93,0)</x:f>
        <x:v>91</x:v>
      </x:c>
      <x:c r="W32" s="38" t="str">
        <x:f>IF(G32&gt;M32*1.5,"Caution",IF(G32&lt;M32*0.7,"Discount","Fair"))</x:f>
        <x:v>Discount</x:v>
      </x:c>
      <x:c r="X32" s="38" t="str">
        <x:f>IF(I32&gt;O32*1.2,"Above Sector","Normal")</x:f>
        <x:v>Normal</x:v>
      </x:c>
      <x:c r="Y32" s="38" t="str">
        <x:f>IF(W32="Caution","P/E is more than 50% above sector median",IF(W32="Discount","P/E is more than 30% below sector median","P/E is within the normal sector range"))</x:f>
        <x:v>P/E is more than 30% below sector median</x:v>
      </x:c>
    </x:row>
    <x:row r="33">
      <x:c r="A33" s="26" t="str">
        <x:v>EICHERMOT</x:v>
      </x:c>
      <x:c r="B33" s="26" t="str">
        <x:v>Eicher Motors Ltd</x:v>
      </x:c>
      <x:c r="C33" s="26" t="str">
        <x:v>Consumer Discretionary</x:v>
      </x:c>
      <x:c r="D33" s="26" t="str">
        <x:v>Two Wheelers</x:v>
      </x:c>
      <x:c r="E33" s="27" t="n">
        <x:v>2024</x:v>
      </x:c>
      <x:c r="F33" s="28" t="n">
        <x:v>222391.83</x:v>
      </x:c>
      <x:c r="G33" s="29" t="n">
        <x:v>15.62</x:v>
      </x:c>
      <x:c r="H33" s="29" t="n">
        <x:v>13.61</x:v>
      </x:c>
      <x:c r="I33" s="29" t="n">
        <x:v>19.29</x:v>
      </x:c>
      <x:c r="J33" s="29" t="n">
        <x:v>18.91</x:v>
      </x:c>
      <x:c r="K33" s="29" t="n">
        <x:v>9.33</x:v>
      </x:c>
      <x:c r="L33" s="29" t="n">
        <x:v>25.09</x:v>
      </x:c>
      <x:c r="M33" s="29" t="n">
        <x:v>38.005</x:v>
      </x:c>
      <x:c r="N33" s="29" t="n">
        <x:v>8.065</x:v>
      </x:c>
      <x:c r="O33" s="29" t="n">
        <x:v>26.455</x:v>
      </x:c>
      <x:c r="P33" s="30" t="n">
        <x:v>4.41</x:v>
      </x:c>
      <x:c r="Q33" s="28" t="n">
        <x:v>890</x:v>
      </x:c>
      <x:c r="R33" s="36" t="n">
        <x:f>IFERROR(Q33/F33*100,"")</x:f>
        <x:v>0.4001945575069012</x:v>
      </x:c>
      <x:c r="S33" s="36" t="n">
        <x:f>IFERROR((G33/J33-1)*100,"")</x:f>
        <x:v>-17.398202009518783</x:v>
      </x:c>
      <x:c r="T33" s="36" t="n">
        <x:f>IFERROR((I33/O33-1)*100,"")</x:f>
        <x:v>-27.083727083727084</x:v>
      </x:c>
      <x:c r="U33" s="37" t="n">
        <x:f>COUNTIFS($C$2:$C$93,C33,$G$2:$G$93,"&lt;"&amp;G33)+1</x:f>
        <x:v>5</x:v>
      </x:c>
      <x:c r="V33" s="37" t="n">
        <x:f>RANK.EQ(P33,$P$2:$P$93,0)</x:f>
        <x:v>2</x:v>
      </x:c>
      <x:c r="W33" s="38" t="str">
        <x:f>IF(G33&gt;M33*1.5,"Caution",IF(G33&lt;M33*0.7,"Discount","Fair"))</x:f>
        <x:v>Discount</x:v>
      </x:c>
      <x:c r="X33" s="38" t="str">
        <x:f>IF(I33&gt;O33*1.2,"Above Sector","Normal")</x:f>
        <x:v>Normal</x:v>
      </x:c>
      <x:c r="Y33" s="38" t="str">
        <x:f>IF(W33="Caution","P/E is more than 50% above sector median",IF(W33="Discount","P/E is more than 30% below sector median","P/E is within the normal sector range"))</x:f>
        <x:v>P/E is more than 30% below sector median</x:v>
      </x:c>
    </x:row>
    <x:row r="34">
      <x:c r="A34" s="26" t="str">
        <x:v>GAIL</x:v>
      </x:c>
      <x:c r="B34" s="26" t="str">
        <x:v>GAIL (India) Ltd</x:v>
      </x:c>
      <x:c r="C34" s="26" t="str">
        <x:v>Energy</x:v>
      </x:c>
      <x:c r="D34" s="26" t="str">
        <x:v>Gas Distribution</x:v>
      </x:c>
      <x:c r="E34" s="27" t="n">
        <x:v>2024</x:v>
      </x:c>
      <x:c r="F34" s="28" t="n">
        <x:v>1531867.57</x:v>
      </x:c>
      <x:c r="G34" s="29" t="n">
        <x:v>25.84</x:v>
      </x:c>
      <x:c r="H34" s="29" t="n">
        <x:v>9.54</x:v>
      </x:c>
      <x:c r="I34" s="29" t="n">
        <x:v>33.07</x:v>
      </x:c>
      <x:c r="J34" s="29" t="n">
        <x:v>30.66</x:v>
      </x:c>
      <x:c r="K34" s="29" t="n">
        <x:v>6.52</x:v>
      </x:c>
      <x:c r="L34" s="29" t="n">
        <x:v>33.07</x:v>
      </x:c>
      <x:c r="M34" s="29" t="n">
        <x:v>44.915</x:v>
      </x:c>
      <x:c r="N34" s="29" t="n">
        <x:v>6</x:v>
      </x:c>
      <x:c r="O34" s="29" t="n">
        <x:v>24.86</x:v>
      </x:c>
      <x:c r="P34" s="30" t="n">
        <x:v>0.31</x:v>
      </x:c>
      <x:c r="Q34" s="28" t="n">
        <x:v>4360</x:v>
      </x:c>
      <x:c r="R34" s="36" t="n">
        <x:f>IFERROR(Q34/F34*100,"")</x:f>
        <x:v>0.28461990353382827</x:v>
      </x:c>
      <x:c r="S34" s="36" t="n">
        <x:f>IFERROR((G34/J34-1)*100,"")</x:f>
        <x:v>-15.720808871493809</x:v>
      </x:c>
      <x:c r="T34" s="36" t="n">
        <x:f>IFERROR((I34/O34-1)*100,"")</x:f>
        <x:v>33.0249396621078</x:v>
      </x:c>
      <x:c r="U34" s="37" t="n">
        <x:f>COUNTIFS($C$2:$C$93,C34,$G$2:$G$93,"&lt;"&amp;G34)+1</x:f>
        <x:v>4</x:v>
      </x:c>
      <x:c r="V34" s="37" t="n">
        <x:f>RANK.EQ(P34,$P$2:$P$93,0)</x:f>
        <x:v>88</x:v>
      </x:c>
      <x:c r="W34" s="38" t="str">
        <x:f>IF(G34&gt;M34*1.5,"Caution",IF(G34&lt;M34*0.7,"Discount","Fair"))</x:f>
        <x:v>Discount</x:v>
      </x:c>
      <x:c r="X34" s="38" t="str">
        <x:f>IF(I34&gt;O34*1.2,"Above Sector","Normal")</x:f>
        <x:v>Above Sector</x:v>
      </x:c>
      <x:c r="Y34" s="38" t="str">
        <x:f>IF(W34="Caution","P/E is more than 50% above sector median",IF(W34="Discount","P/E is more than 30% below sector median","P/E is within the normal sector range"))</x:f>
        <x:v>P/E is more than 30% below sector median</x:v>
      </x:c>
    </x:row>
    <x:row r="35">
      <x:c r="A35" s="26" t="str">
        <x:v>GODREJCP</x:v>
      </x:c>
      <x:c r="B35" s="26" t="str">
        <x:v>Godrej Consumer Products Ltd</x:v>
      </x:c>
      <x:c r="C35" s="26" t="str">
        <x:v>Consumer Staples</x:v>
      </x:c>
      <x:c r="D35" s="26" t="str">
        <x:v>Personal Products</x:v>
      </x:c>
      <x:c r="E35" s="27" t="n">
        <x:v>2024</x:v>
      </x:c>
      <x:c r="F35" s="28" t="n">
        <x:v>1327797.2</x:v>
      </x:c>
      <x:c r="G35" s="29" t="n">
        <x:v>33.59</x:v>
      </x:c>
      <x:c r="H35" s="29" t="n">
        <x:v>8.07</x:v>
      </x:c>
      <x:c r="I35" s="29" t="n">
        <x:v>23.55</x:v>
      </x:c>
      <x:c r="J35" s="29" t="n">
        <x:v>40.79</x:v>
      </x:c>
      <x:c r="K35" s="29" t="n">
        <x:v>5.01</x:v>
      </x:c>
      <x:c r="L35" s="29" t="n">
        <x:v>17.68</x:v>
      </x:c>
      <x:c r="M35" s="29" t="n">
        <x:v>50.95</x:v>
      </x:c>
      <x:c r="N35" s="29" t="n">
        <x:v>8.07</x:v>
      </x:c>
      <x:c r="O35" s="29" t="n">
        <x:v>17.19</x:v>
      </x:c>
      <x:c r="P35" s="30" t="n">
        <x:v>3.09</x:v>
      </x:c>
      <x:c r="Q35" s="28" t="n">
        <x:v>-1365</x:v>
      </x:c>
      <x:c r="R35" s="36" t="n">
        <x:f>IFERROR(Q35/F35*100,"")</x:f>
        <x:v>-0.10280184353453976</x:v>
      </x:c>
      <x:c r="S35" s="36" t="n">
        <x:f>IFERROR((G35/J35-1)*100,"")</x:f>
        <x:v>-17.651385143417496</x:v>
      </x:c>
      <x:c r="T35" s="36" t="n">
        <x:f>IFERROR((I35/O35-1)*100,"")</x:f>
        <x:v>36.99825479930192</x:v>
      </x:c>
      <x:c r="U35" s="37" t="n">
        <x:f>COUNTIFS($C$2:$C$93,C35,$G$2:$G$93,"&lt;"&amp;G35)+1</x:f>
        <x:v>1</x:v>
      </x:c>
      <x:c r="V35" s="37" t="n">
        <x:f>RANK.EQ(P35,$P$2:$P$93,0)</x:f>
        <x:v>31</x:v>
      </x:c>
      <x:c r="W35" s="38" t="str">
        <x:f>IF(G35&gt;M35*1.5,"Caution",IF(G35&lt;M35*0.7,"Discount","Fair"))</x:f>
        <x:v>Discount</x:v>
      </x:c>
      <x:c r="X35" s="38" t="str">
        <x:f>IF(I35&gt;O35*1.2,"Above Sector","Normal")</x:f>
        <x:v>Above Sector</x:v>
      </x:c>
      <x:c r="Y35" s="38" t="str">
        <x:f>IF(W35="Caution","P/E is more than 50% above sector median",IF(W35="Discount","P/E is more than 30% below sector median","P/E is within the normal sector range"))</x:f>
        <x:v>P/E is more than 30% below sector median</x:v>
      </x:c>
    </x:row>
    <x:row r="36">
      <x:c r="A36" s="26" t="str">
        <x:v>GRASIM</x:v>
      </x:c>
      <x:c r="B36" s="26" t="str">
        <x:v>Grasim Industries Ltd</x:v>
      </x:c>
      <x:c r="C36" s="26" t="str">
        <x:v>Industrials</x:v>
      </x:c>
      <x:c r="D36" s="26" t="str">
        <x:v>Diversified Industrials</x:v>
      </x:c>
      <x:c r="E36" s="27" t="n">
        <x:v>2024</x:v>
      </x:c>
      <x:c r="F36" s="28" t="n">
        <x:v>478951.82</x:v>
      </x:c>
      <x:c r="G36" s="29" t="n">
        <x:v>79.35</x:v>
      </x:c>
      <x:c r="H36" s="29" t="n">
        <x:v>5.68</x:v>
      </x:c>
      <x:c r="I36" s="29" t="n">
        <x:v>15.23</x:v>
      </x:c>
      <x:c r="J36" s="29" t="n">
        <x:v>38.27</x:v>
      </x:c>
      <x:c r="K36" s="29" t="n">
        <x:v>6.73</x:v>
      </x:c>
      <x:c r="L36" s="29" t="n">
        <x:v>15.23</x:v>
      </x:c>
      <x:c r="M36" s="29" t="n">
        <x:v>47.155</x:v>
      </x:c>
      <x:c r="N36" s="29" t="n">
        <x:v>7.45</x:v>
      </x:c>
      <x:c r="O36" s="29" t="n">
        <x:v>22.365000000000002</x:v>
      </x:c>
      <x:c r="P36" s="30" t="n">
        <x:v>0.98</x:v>
      </x:c>
      <x:c r="Q36" s="28" t="n">
        <x:v>-33833</x:v>
      </x:c>
      <x:c r="R36" s="36" t="n">
        <x:f>IFERROR(Q36/F36*100,"")</x:f>
        <x:v>-7.063967310949983</x:v>
      </x:c>
      <x:c r="S36" s="36" t="n">
        <x:f>IFERROR((G36/J36-1)*100,"")</x:f>
        <x:v>107.34256597857326</x:v>
      </x:c>
      <x:c r="T36" s="36" t="n">
        <x:f>IFERROR((I36/O36-1)*100,"")</x:f>
        <x:v>-31.902526268723452</x:v>
      </x:c>
      <x:c r="U36" s="37" t="n">
        <x:f>COUNTIFS($C$2:$C$93,C36,$G$2:$G$93,"&lt;"&amp;G36)+1</x:f>
        <x:v>10</x:v>
      </x:c>
      <x:c r="V36" s="37" t="n">
        <x:f>RANK.EQ(P36,$P$2:$P$93,0)</x:f>
        <x:v>76</x:v>
      </x:c>
      <x:c r="W36" s="38" t="str">
        <x:f>IF(G36&gt;M36*1.5,"Caution",IF(G36&lt;M36*0.7,"Discount","Fair"))</x:f>
        <x:v>Caution</x:v>
      </x:c>
      <x:c r="X36" s="38" t="str">
        <x:f>IF(I36&gt;O36*1.2,"Above Sector","Normal")</x:f>
        <x:v>Normal</x:v>
      </x:c>
      <x:c r="Y36" s="38" t="str">
        <x:f>IF(W36="Caution","P/E is more than 50% above sector median",IF(W36="Discount","P/E is more than 30% below sector median","P/E is within the normal sector range"))</x:f>
        <x:v>P/E is more than 50% above sector median</x:v>
      </x:c>
    </x:row>
    <x:row r="37">
      <x:c r="A37" s="26" t="str">
        <x:v>HAL</x:v>
      </x:c>
      <x:c r="B37" s="26" t="str">
        <x:v>Hindustan Aeronautics Ltd</x:v>
      </x:c>
      <x:c r="C37" s="26" t="str">
        <x:v>Industrials</x:v>
      </x:c>
      <x:c r="D37" s="26" t="str">
        <x:v>Defence &amp; Aerospace</x:v>
      </x:c>
      <x:c r="E37" s="27" t="n">
        <x:v>2024</x:v>
      </x:c>
      <x:c r="F37" s="28" t="n">
        <x:v>2643616.86</x:v>
      </x:c>
      <x:c r="G37" s="29" t="n">
        <x:v>71.89</x:v>
      </x:c>
      <x:c r="H37" s="29" t="n">
        <x:v>3.65</x:v>
      </x:c>
      <x:c r="I37" s="29" t="n">
        <x:v>8.76</x:v>
      </x:c>
      <x:c r="J37" s="29" t="n">
        <x:v>51.22</x:v>
      </x:c>
      <x:c r="K37" s="29" t="n">
        <x:v>3.65</x:v>
      </x:c>
      <x:c r="L37" s="29" t="n">
        <x:v>27.14</x:v>
      </x:c>
      <x:c r="M37" s="29" t="n">
        <x:v>47.155</x:v>
      </x:c>
      <x:c r="N37" s="29" t="n">
        <x:v>7.45</x:v>
      </x:c>
      <x:c r="O37" s="29" t="n">
        <x:v>22.365000000000002</x:v>
      </x:c>
      <x:c r="P37" s="30" t="n">
        <x:v>2.77</x:v>
      </x:c>
      <x:c r="Q37" s="28" t="n">
        <x:v>1814</x:v>
      </x:c>
      <x:c r="R37" s="36" t="n">
        <x:f>IFERROR(Q37/F37*100,"")</x:f>
        <x:v>0.06861811283803056</x:v>
      </x:c>
      <x:c r="S37" s="36" t="n">
        <x:f>IFERROR((G37/J37-1)*100,"")</x:f>
        <x:v>40.35532994923858</x:v>
      </x:c>
      <x:c r="T37" s="36" t="n">
        <x:f>IFERROR((I37/O37-1)*100,"")</x:f>
        <x:v>-60.8316566063045</x:v>
      </x:c>
      <x:c r="U37" s="37" t="n">
        <x:f>COUNTIFS($C$2:$C$93,C37,$G$2:$G$93,"&lt;"&amp;G37)+1</x:f>
        <x:v>8</x:v>
      </x:c>
      <x:c r="V37" s="37" t="n">
        <x:f>RANK.EQ(P37,$P$2:$P$93,0)</x:f>
        <x:v>38</x:v>
      </x:c>
      <x:c r="W37" s="38" t="str">
        <x:f>IF(G37&gt;M37*1.5,"Caution",IF(G37&lt;M37*0.7,"Discount","Fair"))</x:f>
        <x:v>Caution</x:v>
      </x:c>
      <x:c r="X37" s="38" t="str">
        <x:f>IF(I37&gt;O37*1.2,"Above Sector","Normal")</x:f>
        <x:v>Normal</x:v>
      </x:c>
      <x:c r="Y37" s="38" t="str">
        <x:f>IF(W37="Caution","P/E is more than 50% above sector median",IF(W37="Discount","P/E is more than 30% below sector median","P/E is within the normal sector range"))</x:f>
        <x:v>P/E is more than 50% above sector median</x:v>
      </x:c>
    </x:row>
    <x:row r="38">
      <x:c r="A38" s="26" t="str">
        <x:v>HAVELLS</x:v>
      </x:c>
      <x:c r="B38" s="26" t="str">
        <x:v>Havells India Ltd</x:v>
      </x:c>
      <x:c r="C38" s="26" t="str">
        <x:v>Industrials</x:v>
      </x:c>
      <x:c r="D38" s="26" t="str">
        <x:v>Consumer Electricals</x:v>
      </x:c>
      <x:c r="E38" s="27" t="n">
        <x:v>2024</x:v>
      </x:c>
      <x:c r="F38" s="28" t="n">
        <x:v>2521508.87</x:v>
      </x:c>
      <x:c r="G38" s="29" t="n">
        <x:v>45.41</x:v>
      </x:c>
      <x:c r="H38" s="29" t="n">
        <x:v>14.08</x:v>
      </x:c>
      <x:c r="I38" s="29" t="n">
        <x:v>30.73</x:v>
      </x:c>
      <x:c r="J38" s="29" t="n">
        <x:v>45.41</x:v>
      </x:c>
      <x:c r="K38" s="29" t="n">
        <x:v>10.23</x:v>
      </x:c>
      <x:c r="L38" s="29" t="n">
        <x:v>31.71</x:v>
      </x:c>
      <x:c r="M38" s="29" t="n">
        <x:v>47.155</x:v>
      </x:c>
      <x:c r="N38" s="29" t="n">
        <x:v>7.45</x:v>
      </x:c>
      <x:c r="O38" s="29" t="n">
        <x:v>22.365000000000002</x:v>
      </x:c>
      <x:c r="P38" s="30" t="n">
        <x:v>2.6</x:v>
      </x:c>
      <x:c r="Q38" s="28" t="n">
        <x:v>335</x:v>
      </x:c>
      <x:c r="R38" s="36" t="n">
        <x:f>IFERROR(Q38/F38*100,"")</x:f>
        <x:v>0.013285695877801929</x:v>
      </x:c>
      <x:c r="S38" s="36" t="n">
        <x:f>IFERROR((G38/J38-1)*100,"")</x:f>
        <x:v>0</x:v>
      </x:c>
      <x:c r="T38" s="36" t="n">
        <x:f>IFERROR((I38/O38-1)*100,"")</x:f>
        <x:v>37.40219092331767</x:v>
      </x:c>
      <x:c r="U38" s="37" t="n">
        <x:f>COUNTIFS($C$2:$C$93,C38,$G$2:$G$93,"&lt;"&amp;G38)+1</x:f>
        <x:v>5</x:v>
      </x:c>
      <x:c r="V38" s="37" t="n">
        <x:f>RANK.EQ(P38,$P$2:$P$93,0)</x:f>
        <x:v>40</x:v>
      </x:c>
      <x:c r="W38" s="38" t="str">
        <x:f>IF(G38&gt;M38*1.5,"Caution",IF(G38&lt;M38*0.7,"Discount","Fair"))</x:f>
        <x:v>Fair</x:v>
      </x:c>
      <x:c r="X38" s="38" t="str">
        <x:f>IF(I38&gt;O38*1.2,"Above Sector","Normal")</x:f>
        <x:v>Above Sector</x:v>
      </x:c>
      <x:c r="Y38" s="38" t="str">
        <x:f>IF(W38="Caution","P/E is more than 50% above sector median",IF(W38="Discount","P/E is more than 30% below sector median","P/E is within the normal sector range"))</x:f>
        <x:v>P/E is within the normal sector range</x:v>
      </x:c>
    </x:row>
    <x:row r="39">
      <x:c r="A39" s="26" t="str">
        <x:v>HCLTECH</x:v>
      </x:c>
      <x:c r="B39" s="26" t="str">
        <x:v>HCL Technologies Ltd</x:v>
      </x:c>
      <x:c r="C39" s="26" t="str">
        <x:v>Information Technology</x:v>
      </x:c>
      <x:c r="D39" s="26" t="str">
        <x:v>IT Services</x:v>
      </x:c>
      <x:c r="E39" s="27" t="n">
        <x:v>2024</x:v>
      </x:c>
      <x:c r="F39" s="28" t="n">
        <x:v>412593.29</x:v>
      </x:c>
      <x:c r="G39" s="29" t="n">
        <x:v>63.63</x:v>
      </x:c>
      <x:c r="H39" s="29" t="n">
        <x:v>5.44</x:v>
      </x:c>
      <x:c r="I39" s="29" t="n">
        <x:v>31.21</x:v>
      </x:c>
      <x:c r="J39" s="29" t="n">
        <x:v>63.63</x:v>
      </x:c>
      <x:c r="K39" s="29" t="n">
        <x:v>5.44</x:v>
      </x:c>
      <x:c r="L39" s="29" t="n">
        <x:v>16.33</x:v>
      </x:c>
      <x:c r="M39" s="29" t="n">
        <x:v>63.63</x:v>
      </x:c>
      <x:c r="N39" s="29" t="n">
        <x:v>6.08</x:v>
      </x:c>
      <x:c r="O39" s="29" t="n">
        <x:v>29.94</x:v>
      </x:c>
      <x:c r="P39" s="30" t="n">
        <x:v>1.99</x:v>
      </x:c>
      <x:c r="Q39" s="28" t="n">
        <x:v>15840</x:v>
      </x:c>
      <x:c r="R39" s="36" t="n">
        <x:f>IFERROR(Q39/F39*100,"")</x:f>
        <x:v>3.8391317512701186</x:v>
      </x:c>
      <x:c r="S39" s="36" t="n">
        <x:f>IFERROR((G39/J39-1)*100,"")</x:f>
        <x:v>0</x:v>
      </x:c>
      <x:c r="T39" s="36" t="n">
        <x:f>IFERROR((I39/O39-1)*100,"")</x:f>
        <x:v>4.241816967267864</x:v>
      </x:c>
      <x:c r="U39" s="37" t="n">
        <x:f>COUNTIFS($C$2:$C$93,C39,$G$2:$G$93,"&lt;"&amp;G39)+1</x:f>
        <x:v>3</x:v>
      </x:c>
      <x:c r="V39" s="37" t="n">
        <x:f>RANK.EQ(P39,$P$2:$P$93,0)</x:f>
        <x:v>48</x:v>
      </x:c>
      <x:c r="W39" s="38" t="str">
        <x:f>IF(G39&gt;M39*1.5,"Caution",IF(G39&lt;M39*0.7,"Discount","Fair"))</x:f>
        <x:v>Fair</x:v>
      </x:c>
      <x:c r="X39" s="38" t="str">
        <x:f>IF(I39&gt;O39*1.2,"Above Sector","Normal")</x:f>
        <x:v>Normal</x:v>
      </x:c>
      <x:c r="Y39" s="38" t="str">
        <x:f>IF(W39="Caution","P/E is more than 50% above sector median",IF(W39="Discount","P/E is more than 30% below sector median","P/E is within the normal sector range"))</x:f>
        <x:v>P/E is within the normal sector range</x:v>
      </x:c>
    </x:row>
    <x:row r="40">
      <x:c r="A40" s="26" t="str">
        <x:v>HDFCBANK</x:v>
      </x:c>
      <x:c r="B40" s="26" t="str">
        <x:v>HDFC Bank Ltd</x:v>
      </x:c>
      <x:c r="C40" s="26" t="str">
        <x:v>Financials</x:v>
      </x:c>
      <x:c r="D40" s="26" t="str">
        <x:v>Private Banks</x:v>
      </x:c>
      <x:c r="E40" s="27" t="n">
        <x:v>2024</x:v>
      </x:c>
      <x:c r="F40" s="28" t="n">
        <x:v>808359.03</x:v>
      </x:c>
      <x:c r="G40" s="29" t="n">
        <x:v>49.42</x:v>
      </x:c>
      <x:c r="H40" s="29" t="n">
        <x:v>4.4</x:v>
      </x:c>
      <x:c r="I40" s="29" t="n">
        <x:v>22.54</x:v>
      </x:c>
      <x:c r="J40" s="29" t="n">
        <x:v>30.19</x:v>
      </x:c>
      <x:c r="K40" s="29" t="n">
        <x:v>4.99</x:v>
      </x:c>
      <x:c r="L40" s="29" t="n">
        <x:v>21.19</x:v>
      </x:c>
      <x:c r="M40" s="29" t="n">
        <x:v>34.24</x:v>
      </x:c>
      <x:c r="N40" s="29" t="n">
        <x:v>6.59</x:v>
      </x:c>
      <x:c r="O40" s="29" t="n">
        <x:v>23.95</x:v>
      </x:c>
      <x:c r="P40" s="30" t="n">
        <x:v>4.33</x:v>
      </x:c>
      <x:c r="Q40" s="28" t="n">
        <x:v>35669</x:v>
      </x:c>
      <x:c r="R40" s="36" t="n">
        <x:f>IFERROR(Q40/F40*100,"")</x:f>
        <x:v>4.412519521183551</x:v>
      </x:c>
      <x:c r="S40" s="36" t="n">
        <x:f>IFERROR((G40/J40-1)*100,"")</x:f>
        <x:v>63.69658827426301</x:v>
      </x:c>
      <x:c r="T40" s="36" t="n">
        <x:f>IFERROR((I40/O40-1)*100,"")</x:f>
        <x:v>-5.887265135699371</x:v>
      </x:c>
      <x:c r="U40" s="37" t="n">
        <x:f>COUNTIFS($C$2:$C$93,C40,$G$2:$G$93,"&lt;"&amp;G40)+1</x:f>
        <x:v>18</x:v>
      </x:c>
      <x:c r="V40" s="37" t="n">
        <x:f>RANK.EQ(P40,$P$2:$P$93,0)</x:f>
        <x:v>4</x:v>
      </x:c>
      <x:c r="W40" s="38" t="str">
        <x:f>IF(G40&gt;M40*1.5,"Caution",IF(G40&lt;M40*0.7,"Discount","Fair"))</x:f>
        <x:v>Fair</x:v>
      </x:c>
      <x:c r="X40" s="38" t="str">
        <x:f>IF(I40&gt;O40*1.2,"Above Sector","Normal")</x:f>
        <x:v>Normal</x:v>
      </x:c>
      <x:c r="Y40" s="38" t="str">
        <x:f>IF(W40="Caution","P/E is more than 50% above sector median",IF(W40="Discount","P/E is more than 30% below sector median","P/E is within the normal sector range"))</x:f>
        <x:v>P/E is within the normal sector range</x:v>
      </x:c>
    </x:row>
    <x:row r="41">
      <x:c r="A41" s="26" t="str">
        <x:v>HDFCLIFE</x:v>
      </x:c>
      <x:c r="B41" s="26" t="str">
        <x:v>HDFC Life Insurance Company Ltd</x:v>
      </x:c>
      <x:c r="C41" s="26" t="str">
        <x:v>Financials</x:v>
      </x:c>
      <x:c r="D41" s="26" t="str">
        <x:v>Life Insurance</x:v>
      </x:c>
      <x:c r="E41" s="27" t="n">
        <x:v>2024</x:v>
      </x:c>
      <x:c r="F41" s="28" t="n">
        <x:v>47027.6</x:v>
      </x:c>
      <x:c r="G41" s="29" t="n">
        <x:v>50.59</x:v>
      </x:c>
      <x:c r="H41" s="29" t="n">
        <x:v>11.28</x:v>
      </x:c>
      <x:c r="I41" s="29" t="n">
        <x:v>31.63</x:v>
      </x:c>
      <x:c r="J41" s="29" t="n">
        <x:v>50.59</x:v>
      </x:c>
      <x:c r="K41" s="29" t="n">
        <x:v>11.85</x:v>
      </x:c>
      <x:c r="L41" s="29" t="n">
        <x:v>15.51</x:v>
      </x:c>
      <x:c r="M41" s="29" t="n">
        <x:v>34.24</x:v>
      </x:c>
      <x:c r="N41" s="29" t="n">
        <x:v>6.59</x:v>
      </x:c>
      <x:c r="O41" s="29" t="n">
        <x:v>23.95</x:v>
      </x:c>
      <x:c r="P41" s="30" t="n">
        <x:v>3.22</x:v>
      </x:c>
      <x:c r="Q41" s="28" t="n">
        <x:v>-2893</x:v>
      </x:c>
      <x:c r="R41" s="36" t="n">
        <x:f>IFERROR(Q41/F41*100,"")</x:f>
        <x:v>-6.151706657367163</x:v>
      </x:c>
      <x:c r="S41" s="36" t="n">
        <x:f>IFERROR((G41/J41-1)*100,"")</x:f>
        <x:v>0</x:v>
      </x:c>
      <x:c r="T41" s="36" t="n">
        <x:f>IFERROR((I41/O41-1)*100,"")</x:f>
        <x:v>32.066805845511496</x:v>
      </x:c>
      <x:c r="U41" s="37" t="n">
        <x:f>COUNTIFS($C$2:$C$93,C41,$G$2:$G$93,"&lt;"&amp;G41)+1</x:f>
        <x:v>19</x:v>
      </x:c>
      <x:c r="V41" s="37" t="n">
        <x:f>RANK.EQ(P41,$P$2:$P$93,0)</x:f>
        <x:v>26</x:v>
      </x:c>
      <x:c r="W41" s="38" t="str">
        <x:f>IF(G41&gt;M41*1.5,"Caution",IF(G41&lt;M41*0.7,"Discount","Fair"))</x:f>
        <x:v>Fair</x:v>
      </x:c>
      <x:c r="X41" s="38" t="str">
        <x:f>IF(I41&gt;O41*1.2,"Above Sector","Normal")</x:f>
        <x:v>Above Sector</x:v>
      </x:c>
      <x:c r="Y41" s="38" t="str">
        <x:f>IF(W41="Caution","P/E is more than 50% above sector median",IF(W41="Discount","P/E is more than 30% below sector median","P/E is within the normal sector range"))</x:f>
        <x:v>P/E is within the normal sector range</x:v>
      </x:c>
    </x:row>
    <x:row r="42">
      <x:c r="A42" s="26" t="str">
        <x:v>HEROMOTOCO</x:v>
      </x:c>
      <x:c r="B42" s="26" t="str">
        <x:v>Hero MotoCorp Ltd
</x:v>
      </x:c>
      <x:c r="C42" s="26" t="str">
        <x:v>Consumer Discretionary</x:v>
      </x:c>
      <x:c r="D42" s="26" t="str">
        <x:v>Two Wheelers</x:v>
      </x:c>
      <x:c r="E42" s="27" t="n">
        <x:v>2024</x:v>
      </x:c>
      <x:c r="F42" s="28" t="n">
        <x:v>1593400.88</x:v>
      </x:c>
      <x:c r="G42" s="29" t="n">
        <x:v>53.86</x:v>
      </x:c>
      <x:c r="H42" s="29" t="n">
        <x:v>12.6</x:v>
      </x:c>
      <x:c r="I42" s="29" t="n">
        <x:v>28.27</x:v>
      </x:c>
      <x:c r="J42" s="29" t="n">
        <x:v>56.18</x:v>
      </x:c>
      <x:c r="K42" s="29" t="n">
        <x:v>12.26</x:v>
      </x:c>
      <x:c r="L42" s="29" t="n">
        <x:v>32.57</x:v>
      </x:c>
      <x:c r="M42" s="29" t="n">
        <x:v>38.005</x:v>
      </x:c>
      <x:c r="N42" s="29" t="n">
        <x:v>8.065</x:v>
      </x:c>
      <x:c r="O42" s="29" t="n">
        <x:v>26.455</x:v>
      </x:c>
      <x:c r="P42" s="30" t="n">
        <x:v>1.91</x:v>
      </x:c>
      <x:c r="Q42" s="28" t="n">
        <x:v>3095</x:v>
      </x:c>
      <x:c r="R42" s="36" t="n">
        <x:f>IFERROR(Q42/F42*100,"")</x:f>
        <x:v>0.19423862750722218</x:v>
      </x:c>
      <x:c r="S42" s="36" t="n">
        <x:f>IFERROR((G42/J42-1)*100,"")</x:f>
        <x:v>-4.129583481666077</x:v>
      </x:c>
      <x:c r="T42" s="36" t="n">
        <x:f>IFERROR((I42/O42-1)*100,"")</x:f>
        <x:v>6.8607068607068555</x:v>
      </x:c>
      <x:c r="U42" s="37" t="n">
        <x:f>COUNTIFS($C$2:$C$93,C42,$G$2:$G$93,"&lt;"&amp;G42)+1</x:f>
        <x:v>9</x:v>
      </x:c>
      <x:c r="V42" s="37" t="n">
        <x:f>RANK.EQ(P42,$P$2:$P$93,0)</x:f>
        <x:v>50</x:v>
      </x:c>
      <x:c r="W42" s="38" t="str">
        <x:f>IF(G42&gt;M42*1.5,"Caution",IF(G42&lt;M42*0.7,"Discount","Fair"))</x:f>
        <x:v>Fair</x:v>
      </x:c>
      <x:c r="X42" s="38" t="str">
        <x:f>IF(I42&gt;O42*1.2,"Above Sector","Normal")</x:f>
        <x:v>Normal</x:v>
      </x:c>
      <x:c r="Y42" s="38" t="str">
        <x:f>IF(W42="Caution","P/E is more than 50% above sector median",IF(W42="Discount","P/E is more than 30% below sector median","P/E is within the normal sector range"))</x:f>
        <x:v>P/E is within the normal sector range</x:v>
      </x:c>
    </x:row>
    <x:row r="43">
      <x:c r="A43" s="26" t="str">
        <x:v>HINDALCO</x:v>
      </x:c>
      <x:c r="B43" s="26" t="str">
        <x:v>Hindalco Industries Ltd</x:v>
      </x:c>
      <x:c r="C43" s="26" t="str">
        <x:v>Materials</x:v>
      </x:c>
      <x:c r="D43" s="26" t="str">
        <x:v>Metals &amp; Mining</x:v>
      </x:c>
      <x:c r="E43" s="27" t="n">
        <x:v>2024</x:v>
      </x:c>
      <x:c r="F43" s="28" t="n">
        <x:v>722281.1</x:v>
      </x:c>
      <x:c r="G43" s="29" t="n">
        <x:v>56.45</x:v>
      </x:c>
      <x:c r="H43" s="29" t="n">
        <x:v>9.32</x:v>
      </x:c>
      <x:c r="I43" s="29" t="n">
        <x:v>27.63</x:v>
      </x:c>
      <x:c r="J43" s="29" t="n">
        <x:v>56.45</x:v>
      </x:c>
      <x:c r="K43" s="29" t="n">
        <x:v>7.92</x:v>
      </x:c>
      <x:c r="L43" s="29" t="n">
        <x:v>25.46</x:v>
      </x:c>
      <x:c r="M43" s="29" t="n">
        <x:v>55.62</x:v>
      </x:c>
      <x:c r="N43" s="29" t="n">
        <x:v>9.21</x:v>
      </x:c>
      <x:c r="O43" s="29" t="n">
        <x:v>26.58</x:v>
      </x:c>
      <x:c r="P43" s="30" t="n">
        <x:v>0.98</x:v>
      </x:c>
      <x:c r="Q43" s="28" t="n">
        <x:v>9789</x:v>
      </x:c>
      <x:c r="R43" s="36" t="n">
        <x:f>IFERROR(Q43/F43*100,"")</x:f>
        <x:v>1.355289512628809</x:v>
      </x:c>
      <x:c r="S43" s="36" t="n">
        <x:f>IFERROR((G43/J43-1)*100,"")</x:f>
        <x:v>0</x:v>
      </x:c>
      <x:c r="T43" s="36" t="n">
        <x:f>IFERROR((I43/O43-1)*100,"")</x:f>
        <x:v>3.950338600451464</x:v>
      </x:c>
      <x:c r="U43" s="37" t="n">
        <x:f>COUNTIFS($C$2:$C$93,C43,$G$2:$G$93,"&lt;"&amp;G43)+1</x:f>
        <x:v>6</x:v>
      </x:c>
      <x:c r="V43" s="37" t="n">
        <x:f>RANK.EQ(P43,$P$2:$P$93,0)</x:f>
        <x:v>76</x:v>
      </x:c>
      <x:c r="W43" s="38" t="str">
        <x:f>IF(G43&gt;M43*1.5,"Caution",IF(G43&lt;M43*0.7,"Discount","Fair"))</x:f>
        <x:v>Fair</x:v>
      </x:c>
      <x:c r="X43" s="38" t="str">
        <x:f>IF(I43&gt;O43*1.2,"Above Sector","Normal")</x:f>
        <x:v>Normal</x:v>
      </x:c>
      <x:c r="Y43" s="38" t="str">
        <x:f>IF(W43="Caution","P/E is more than 50% above sector median",IF(W43="Discount","P/E is more than 30% below sector median","P/E is within the normal sector range"))</x:f>
        <x:v>P/E is within the normal sector range</x:v>
      </x:c>
    </x:row>
    <x:row r="44">
      <x:c r="A44" s="26" t="str">
        <x:v>HINDUNILVR</x:v>
      </x:c>
      <x:c r="B44" s="26" t="str">
        <x:v>Hindustan Unilever Ltd
</x:v>
      </x:c>
      <x:c r="C44" s="26" t="str">
        <x:v>Consumer Staples</x:v>
      </x:c>
      <x:c r="D44" s="26" t="str">
        <x:v>FMCG</x:v>
      </x:c>
      <x:c r="E44" s="27" t="n">
        <x:v>2024</x:v>
      </x:c>
      <x:c r="F44" s="28" t="n">
        <x:v>548890.59</x:v>
      </x:c>
      <x:c r="G44" s="29" t="n">
        <x:v>34.51</x:v>
      </x:c>
      <x:c r="H44" s="29" t="n">
        <x:v>11.88</x:v>
      </x:c>
      <x:c r="I44" s="29" t="n">
        <x:v>7.52</x:v>
      </x:c>
      <x:c r="J44" s="29" t="n">
        <x:v>22.92</x:v>
      </x:c>
      <x:c r="K44" s="29" t="n">
        <x:v>6.47</x:v>
      </x:c>
      <x:c r="L44" s="29" t="n">
        <x:v>13.57</x:v>
      </x:c>
      <x:c r="M44" s="29" t="n">
        <x:v>50.95</x:v>
      </x:c>
      <x:c r="N44" s="29" t="n">
        <x:v>8.07</x:v>
      </x:c>
      <x:c r="O44" s="29" t="n">
        <x:v>17.19</x:v>
      </x:c>
      <x:c r="P44" s="30" t="n">
        <x:v>4.32</x:v>
      </x:c>
      <x:c r="Q44" s="28" t="n">
        <x:v>10145</x:v>
      </x:c>
      <x:c r="R44" s="36" t="n">
        <x:f>IFERROR(Q44/F44*100,"")</x:f>
        <x:v>1.8482736240750641</x:v>
      </x:c>
      <x:c r="S44" s="36" t="n">
        <x:f>IFERROR((G44/J44-1)*100,"")</x:f>
        <x:v>50.56719022687608</x:v>
      </x:c>
      <x:c r="T44" s="36" t="n">
        <x:f>IFERROR((I44/O44-1)*100,"")</x:f>
        <x:v>-56.25363583478767</x:v>
      </x:c>
      <x:c r="U44" s="37" t="n">
        <x:f>COUNTIFS($C$2:$C$93,C44,$G$2:$G$93,"&lt;"&amp;G44)+1</x:f>
        <x:v>2</x:v>
      </x:c>
      <x:c r="V44" s="37" t="n">
        <x:f>RANK.EQ(P44,$P$2:$P$93,0)</x:f>
        <x:v>5</x:v>
      </x:c>
      <x:c r="W44" s="38" t="str">
        <x:f>IF(G44&gt;M44*1.5,"Caution",IF(G44&lt;M44*0.7,"Discount","Fair"))</x:f>
        <x:v>Discount</x:v>
      </x:c>
      <x:c r="X44" s="38" t="str">
        <x:f>IF(I44&gt;O44*1.2,"Above Sector","Normal")</x:f>
        <x:v>Normal</x:v>
      </x:c>
      <x:c r="Y44" s="38" t="str">
        <x:f>IF(W44="Caution","P/E is more than 50% above sector median",IF(W44="Discount","P/E is more than 30% below sector median","P/E is within the normal sector range"))</x:f>
        <x:v>P/E is more than 30% below sector median</x:v>
      </x:c>
    </x:row>
    <x:row r="45">
      <x:c r="A45" s="26" t="str">
        <x:v>ICICIBANK</x:v>
      </x:c>
      <x:c r="B45" s="26" t="str">
        <x:v>ICICI Bank Ltd</x:v>
      </x:c>
      <x:c r="C45" s="26" t="str">
        <x:v>Financials</x:v>
      </x:c>
      <x:c r="D45" s="26" t="str">
        <x:v>Private Banks</x:v>
      </x:c>
      <x:c r="E45" s="27" t="n">
        <x:v>2024</x:v>
      </x:c>
      <x:c r="F45" s="28" t="n">
        <x:v>1319221.86</x:v>
      </x:c>
      <x:c r="G45" s="29" t="n">
        <x:v>25.76</x:v>
      </x:c>
      <x:c r="H45" s="29" t="n">
        <x:v>6.2</x:v>
      </x:c>
      <x:c r="I45" s="29" t="n">
        <x:v>38.28</x:v>
      </x:c>
      <x:c r="J45" s="29" t="n">
        <x:v>25.76</x:v>
      </x:c>
      <x:c r="K45" s="29" t="n">
        <x:v>8.09</x:v>
      </x:c>
      <x:c r="L45" s="29" t="n">
        <x:v>31.06</x:v>
      </x:c>
      <x:c r="M45" s="29" t="n">
        <x:v>34.24</x:v>
      </x:c>
      <x:c r="N45" s="29" t="n">
        <x:v>6.59</x:v>
      </x:c>
      <x:c r="O45" s="29" t="n">
        <x:v>23.95</x:v>
      </x:c>
      <x:c r="P45" s="30" t="n">
        <x:v>3.43</x:v>
      </x:c>
      <x:c r="Q45" s="28" t="n">
        <x:v>12547</x:v>
      </x:c>
      <x:c r="R45" s="36" t="n">
        <x:f>IFERROR(Q45/F45*100,"")</x:f>
        <x:v>0.9510909711578005</x:v>
      </x:c>
      <x:c r="S45" s="36" t="n">
        <x:f>IFERROR((G45/J45-1)*100,"")</x:f>
        <x:v>0</x:v>
      </x:c>
      <x:c r="T45" s="36" t="n">
        <x:f>IFERROR((I45/O45-1)*100,"")</x:f>
        <x:v>59.8329853862213</x:v>
      </x:c>
      <x:c r="U45" s="37" t="n">
        <x:f>COUNTIFS($C$2:$C$93,C45,$G$2:$G$93,"&lt;"&amp;G45)+1</x:f>
        <x:v>8</x:v>
      </x:c>
      <x:c r="V45" s="37" t="n">
        <x:f>RANK.EQ(P45,$P$2:$P$93,0)</x:f>
        <x:v>23</x:v>
      </x:c>
      <x:c r="W45" s="38" t="str">
        <x:f>IF(G45&gt;M45*1.5,"Caution",IF(G45&lt;M45*0.7,"Discount","Fair"))</x:f>
        <x:v>Fair</x:v>
      </x:c>
      <x:c r="X45" s="38" t="str">
        <x:f>IF(I45&gt;O45*1.2,"Above Sector","Normal")</x:f>
        <x:v>Above Sector</x:v>
      </x:c>
      <x:c r="Y45" s="38" t="str">
        <x:f>IF(W45="Caution","P/E is more than 50% above sector median",IF(W45="Discount","P/E is more than 30% below sector median","P/E is within the normal sector range"))</x:f>
        <x:v>P/E is within the normal sector range</x:v>
      </x:c>
    </x:row>
    <x:row r="46">
      <x:c r="A46" s="26" t="str">
        <x:v>ICICIGI</x:v>
      </x:c>
      <x:c r="B46" s="26" t="str">
        <x:v>ICICI Lombard General Insurance Company Ltd</x:v>
      </x:c>
      <x:c r="C46" s="26" t="str">
        <x:v>Financials</x:v>
      </x:c>
      <x:c r="D46" s="26" t="str">
        <x:v>General Insurance</x:v>
      </x:c>
      <x:c r="E46" s="27" t="n">
        <x:v>2024</x:v>
      </x:c>
      <x:c r="F46" s="28" t="n">
        <x:v>1271789.21</x:v>
      </x:c>
      <x:c r="G46" s="29" t="n">
        <x:v>49</x:v>
      </x:c>
      <x:c r="H46" s="29" t="n">
        <x:v>7.86</x:v>
      </x:c>
      <x:c r="I46" s="29" t="n">
        <x:v>36.96</x:v>
      </x:c>
      <x:c r="J46" s="29" t="n">
        <x:v>49</x:v>
      </x:c>
      <x:c r="K46" s="29" t="n">
        <x:v>8.08</x:v>
      </x:c>
      <x:c r="L46" s="29" t="n">
        <x:v>12.94</x:v>
      </x:c>
      <x:c r="M46" s="29" t="n">
        <x:v>34.24</x:v>
      </x:c>
      <x:c r="N46" s="29" t="n">
        <x:v>6.59</x:v>
      </x:c>
      <x:c r="O46" s="29" t="n">
        <x:v>23.95</x:v>
      </x:c>
      <x:c r="P46" s="30" t="n">
        <x:v>3.46</x:v>
      </x:c>
      <x:c r="Q46" s="28" t="n">
        <x:v>486</x:v>
      </x:c>
      <x:c r="R46" s="36" t="n">
        <x:f>IFERROR(Q46/F46*100,"")</x:f>
        <x:v>0.03821387979852416</x:v>
      </x:c>
      <x:c r="S46" s="36" t="n">
        <x:f>IFERROR((G46/J46-1)*100,"")</x:f>
        <x:v>0</x:v>
      </x:c>
      <x:c r="T46" s="36" t="n">
        <x:f>IFERROR((I46/O46-1)*100,"")</x:f>
        <x:v>54.32150313152402</x:v>
      </x:c>
      <x:c r="U46" s="37" t="n">
        <x:f>COUNTIFS($C$2:$C$93,C46,$G$2:$G$93,"&lt;"&amp;G46)+1</x:f>
        <x:v>17</x:v>
      </x:c>
      <x:c r="V46" s="37" t="n">
        <x:f>RANK.EQ(P46,$P$2:$P$93,0)</x:f>
        <x:v>21</x:v>
      </x:c>
      <x:c r="W46" s="38" t="str">
        <x:f>IF(G46&gt;M46*1.5,"Caution",IF(G46&lt;M46*0.7,"Discount","Fair"))</x:f>
        <x:v>Fair</x:v>
      </x:c>
      <x:c r="X46" s="38" t="str">
        <x:f>IF(I46&gt;O46*1.2,"Above Sector","Normal")</x:f>
        <x:v>Above Sector</x:v>
      </x:c>
      <x:c r="Y46" s="38" t="str">
        <x:f>IF(W46="Caution","P/E is more than 50% above sector median",IF(W46="Discount","P/E is more than 30% below sector median","P/E is within the normal sector range"))</x:f>
        <x:v>P/E is within the normal sector range</x:v>
      </x:c>
    </x:row>
    <x:row r="47">
      <x:c r="A47" s="26" t="str">
        <x:v>ICICIPRULI</x:v>
      </x:c>
      <x:c r="B47" s="26" t="str">
        <x:v>ICICI Prudential Life Insurance Company Ltd</x:v>
      </x:c>
      <x:c r="C47" s="26" t="str">
        <x:v>Financials</x:v>
      </x:c>
      <x:c r="D47" s="26" t="str">
        <x:v>Life Insurance</x:v>
      </x:c>
      <x:c r="E47" s="27" t="n">
        <x:v>2024</x:v>
      </x:c>
      <x:c r="F47" s="28" t="n">
        <x:v>1596987.55</x:v>
      </x:c>
      <x:c r="G47" s="29" t="n">
        <x:v>20.83</x:v>
      </x:c>
      <x:c r="H47" s="29" t="n">
        <x:v>12.38</x:v>
      </x:c>
      <x:c r="I47" s="29" t="n">
        <x:v>22.57</x:v>
      </x:c>
      <x:c r="J47" s="29" t="n">
        <x:v>36.03</x:v>
      </x:c>
      <x:c r="K47" s="29" t="n">
        <x:v>4.53</x:v>
      </x:c>
      <x:c r="L47" s="29" t="n">
        <x:v>12.92</x:v>
      </x:c>
      <x:c r="M47" s="29" t="n">
        <x:v>34.24</x:v>
      </x:c>
      <x:c r="N47" s="29" t="n">
        <x:v>6.59</x:v>
      </x:c>
      <x:c r="O47" s="29" t="n">
        <x:v>23.95</x:v>
      </x:c>
      <x:c r="P47" s="30" t="n">
        <x:v>0.35</x:v>
      </x:c>
      <x:c r="Q47" s="28" t="n">
        <x:v>105</x:v>
      </x:c>
      <x:c r="R47" s="36" t="n">
        <x:f>IFERROR(Q47/F47*100,"")</x:f>
        <x:v>0.006574879059013327</x:v>
      </x:c>
      <x:c r="S47" s="36" t="n">
        <x:f>IFERROR((G47/J47-1)*100,"")</x:f>
        <x:v>-42.187066333610886</x:v>
      </x:c>
      <x:c r="T47" s="36" t="n">
        <x:f>IFERROR((I47/O47-1)*100,"")</x:f>
        <x:v>-5.762004175365343</x:v>
      </x:c>
      <x:c r="U47" s="37" t="n">
        <x:f>COUNTIFS($C$2:$C$93,C47,$G$2:$G$93,"&lt;"&amp;G47)+1</x:f>
        <x:v>7</x:v>
      </x:c>
      <x:c r="V47" s="37" t="n">
        <x:f>RANK.EQ(P47,$P$2:$P$93,0)</x:f>
        <x:v>87</x:v>
      </x:c>
      <x:c r="W47" s="38" t="str">
        <x:f>IF(G47&gt;M47*1.5,"Caution",IF(G47&lt;M47*0.7,"Discount","Fair"))</x:f>
        <x:v>Discount</x:v>
      </x:c>
      <x:c r="X47" s="38" t="str">
        <x:f>IF(I47&gt;O47*1.2,"Above Sector","Normal")</x:f>
        <x:v>Normal</x:v>
      </x:c>
      <x:c r="Y47" s="38" t="str">
        <x:f>IF(W47="Caution","P/E is more than 50% above sector median",IF(W47="Discount","P/E is more than 30% below sector median","P/E is within the normal sector range"))</x:f>
        <x:v>P/E is more than 30% below sector median</x:v>
      </x:c>
    </x:row>
    <x:row r="48">
      <x:c r="A48" s="26" t="str">
        <x:v>INDIGO</x:v>
      </x:c>
      <x:c r="B48" s="26" t="str">
        <x:v>Interglobe Aviation Ltd</x:v>
      </x:c>
      <x:c r="C48" s="26" t="str">
        <x:v>Consumer Discretionary</x:v>
      </x:c>
      <x:c r="D48" s="26" t="str">
        <x:v>Airlines</x:v>
      </x:c>
      <x:c r="E48" s="27" t="n">
        <x:v>2024</x:v>
      </x:c>
      <x:c r="F48" s="28" t="n">
        <x:v>1040632.92</x:v>
      </x:c>
      <x:c r="G48" s="29" t="n">
        <x:v>76.23</x:v>
      </x:c>
      <x:c r="H48" s="29" t="n">
        <x:v>7.87</x:v>
      </x:c>
      <x:c r="I48" s="29" t="n">
        <x:v>24.64</x:v>
      </x:c>
      <x:c r="J48" s="29" t="n">
        <x:v>51.42</x:v>
      </x:c>
      <x:c r="K48" s="29" t="n">
        <x:v>10.87</x:v>
      </x:c>
      <x:c r="L48" s="29" t="n">
        <x:v>28.15</x:v>
      </x:c>
      <x:c r="M48" s="29" t="n">
        <x:v>38.005</x:v>
      </x:c>
      <x:c r="N48" s="29" t="n">
        <x:v>8.065</x:v>
      </x:c>
      <x:c r="O48" s="29" t="n">
        <x:v>26.455</x:v>
      </x:c>
      <x:c r="P48" s="30" t="n">
        <x:v>4.27</x:v>
      </x:c>
      <x:c r="Q48" s="28" t="n">
        <x:v>9424</x:v>
      </x:c>
      <x:c r="R48" s="36" t="n">
        <x:f>IFERROR(Q48/F48*100,"")</x:f>
        <x:v>0.9056027172386589</x:v>
      </x:c>
      <x:c r="S48" s="36" t="n">
        <x:f>IFERROR((G48/J48-1)*100,"")</x:f>
        <x:v>48.24970828471413</x:v>
      </x:c>
      <x:c r="T48" s="36" t="n">
        <x:f>IFERROR((I48/O48-1)*100,"")</x:f>
        <x:v>-6.8607068607068555</x:v>
      </x:c>
      <x:c r="U48" s="37" t="n">
        <x:f>COUNTIFS($C$2:$C$93,C48,$G$2:$G$93,"&lt;"&amp;G48)+1</x:f>
        <x:v>14</x:v>
      </x:c>
      <x:c r="V48" s="37" t="n">
        <x:f>RANK.EQ(P48,$P$2:$P$93,0)</x:f>
        <x:v>7</x:v>
      </x:c>
      <x:c r="W48" s="38" t="str">
        <x:f>IF(G48&gt;M48*1.5,"Caution",IF(G48&lt;M48*0.7,"Discount","Fair"))</x:f>
        <x:v>Caution</x:v>
      </x:c>
      <x:c r="X48" s="38" t="str">
        <x:f>IF(I48&gt;O48*1.2,"Above Sector","Normal")</x:f>
        <x:v>Normal</x:v>
      </x:c>
      <x:c r="Y48" s="38" t="str">
        <x:f>IF(W48="Caution","P/E is more than 50% above sector median",IF(W48="Discount","P/E is more than 30% below sector median","P/E is within the normal sector range"))</x:f>
        <x:v>P/E is more than 50% above sector median</x:v>
      </x:c>
    </x:row>
    <x:row r="49">
      <x:c r="A49" s="26" t="str">
        <x:v>INDUSINDBK</x:v>
      </x:c>
      <x:c r="B49" s="26" t="str">
        <x:v>IndusInd Bank Ltd</x:v>
      </x:c>
      <x:c r="C49" s="26" t="str">
        <x:v>Financials</x:v>
      </x:c>
      <x:c r="D49" s="26" t="str">
        <x:v>Private Banks</x:v>
      </x:c>
      <x:c r="E49" s="27" t="n">
        <x:v>2024</x:v>
      </x:c>
      <x:c r="F49" s="28" t="n">
        <x:v>1807433.12</x:v>
      </x:c>
      <x:c r="G49" s="29" t="n">
        <x:v>8.99</x:v>
      </x:c>
      <x:c r="H49" s="29" t="n">
        <x:v>3.7</x:v>
      </x:c>
      <x:c r="I49" s="29" t="n">
        <x:v>28.79</x:v>
      </x:c>
      <x:c r="J49" s="29" t="n">
        <x:v>51.73</x:v>
      </x:c>
      <x:c r="K49" s="29" t="n">
        <x:v>2.2</x:v>
      </x:c>
      <x:c r="L49" s="29" t="n">
        <x:v>28.79</x:v>
      </x:c>
      <x:c r="M49" s="29" t="n">
        <x:v>34.24</x:v>
      </x:c>
      <x:c r="N49" s="29" t="n">
        <x:v>6.59</x:v>
      </x:c>
      <x:c r="O49" s="29" t="n">
        <x:v>23.95</x:v>
      </x:c>
      <x:c r="P49" s="30" t="n">
        <x:v>1.42</x:v>
      </x:c>
      <x:c r="Q49" s="28" t="n">
        <x:v>-17468</x:v>
      </x:c>
      <x:c r="R49" s="36" t="n">
        <x:f>IFERROR(Q49/F49*100,"")</x:f>
        <x:v>-0.9664534641259643</x:v>
      </x:c>
      <x:c r="S49" s="36" t="n">
        <x:f>IFERROR((G49/J49-1)*100,"")</x:f>
        <x:v>-82.62130291900252</x:v>
      </x:c>
      <x:c r="T49" s="36" t="n">
        <x:f>IFERROR((I49/O49-1)*100,"")</x:f>
        <x:v>20.208768267223377</x:v>
      </x:c>
      <x:c r="U49" s="37" t="n">
        <x:f>COUNTIFS($C$2:$C$93,C49,$G$2:$G$93,"&lt;"&amp;G49)+1</x:f>
        <x:v>1</x:v>
      </x:c>
      <x:c r="V49" s="37" t="n">
        <x:f>RANK.EQ(P49,$P$2:$P$93,0)</x:f>
        <x:v>62</x:v>
      </x:c>
      <x:c r="W49" s="38" t="str">
        <x:f>IF(G49&gt;M49*1.5,"Caution",IF(G49&lt;M49*0.7,"Discount","Fair"))</x:f>
        <x:v>Discount</x:v>
      </x:c>
      <x:c r="X49" s="38" t="str">
        <x:f>IF(I49&gt;O49*1.2,"Above Sector","Normal")</x:f>
        <x:v>Above Sector</x:v>
      </x:c>
      <x:c r="Y49" s="38" t="str">
        <x:f>IF(W49="Caution","P/E is more than 50% above sector median",IF(W49="Discount","P/E is more than 30% below sector median","P/E is within the normal sector range"))</x:f>
        <x:v>P/E is more than 30% below sector median</x:v>
      </x:c>
    </x:row>
    <x:row r="50">
      <x:c r="A50" s="26" t="str">
        <x:v>INFY</x:v>
      </x:c>
      <x:c r="B50" s="26" t="str">
        <x:v>Infosys Ltd</x:v>
      </x:c>
      <x:c r="C50" s="26" t="str">
        <x:v>Information Technology</x:v>
      </x:c>
      <x:c r="D50" s="26" t="str">
        <x:v>IT Services</x:v>
      </x:c>
      <x:c r="E50" s="27" t="n">
        <x:v>2024</x:v>
      </x:c>
      <x:c r="F50" s="28" t="n">
        <x:v>1112279.92</x:v>
      </x:c>
      <x:c r="G50" s="29" t="n">
        <x:v>35.99</x:v>
      </x:c>
      <x:c r="H50" s="29" t="n">
        <x:v>8.97</x:v>
      </x:c>
      <x:c r="I50" s="29" t="n">
        <x:v>36.7</x:v>
      </x:c>
      <x:c r="J50" s="29" t="n">
        <x:v>35.99</x:v>
      </x:c>
      <x:c r="K50" s="29" t="n">
        <x:v>9.93</x:v>
      </x:c>
      <x:c r="L50" s="29" t="n">
        <x:v>31.67</x:v>
      </x:c>
      <x:c r="M50" s="29" t="n">
        <x:v>63.63</x:v>
      </x:c>
      <x:c r="N50" s="29" t="n">
        <x:v>6.08</x:v>
      </x:c>
      <x:c r="O50" s="29" t="n">
        <x:v>29.94</x:v>
      </x:c>
      <x:c r="P50" s="30" t="n">
        <x:v>4.1</x:v>
      </x:c>
      <x:c r="Q50" s="28" t="n">
        <x:v>20117</x:v>
      </x:c>
      <x:c r="R50" s="36" t="n">
        <x:f>IFERROR(Q50/F50*100,"")</x:f>
        <x:v>1.808627454139422</x:v>
      </x:c>
      <x:c r="S50" s="36" t="n">
        <x:f>IFERROR((G50/J50-1)*100,"")</x:f>
        <x:v>0</x:v>
      </x:c>
      <x:c r="T50" s="36" t="n">
        <x:f>IFERROR((I50/O50-1)*100,"")</x:f>
        <x:v>22.578490313961264</x:v>
      </x:c>
      <x:c r="U50" s="37" t="n">
        <x:f>COUNTIFS($C$2:$C$93,C50,$G$2:$G$93,"&lt;"&amp;G50)+1</x:f>
        <x:v>1</x:v>
      </x:c>
      <x:c r="V50" s="37" t="n">
        <x:f>RANK.EQ(P50,$P$2:$P$93,0)</x:f>
        <x:v>11</x:v>
      </x:c>
      <x:c r="W50" s="38" t="str">
        <x:f>IF(G50&gt;M50*1.5,"Caution",IF(G50&lt;M50*0.7,"Discount","Fair"))</x:f>
        <x:v>Discount</x:v>
      </x:c>
      <x:c r="X50" s="38" t="str">
        <x:f>IF(I50&gt;O50*1.2,"Above Sector","Normal")</x:f>
        <x:v>Above Sector</x:v>
      </x:c>
      <x:c r="Y50" s="38" t="str">
        <x:f>IF(W50="Caution","P/E is more than 50% above sector median",IF(W50="Discount","P/E is more than 30% below sector median","P/E is within the normal sector range"))</x:f>
        <x:v>P/E is more than 30% below sector median</x:v>
      </x:c>
    </x:row>
    <x:row r="51">
      <x:c r="A51" s="26" t="str">
        <x:v>IOC</x:v>
      </x:c>
      <x:c r="B51" s="26" t="str">
        <x:v>Indian Oil Corporation
</x:v>
      </x:c>
      <x:c r="C51" s="26" t="str">
        <x:v>Energy</x:v>
      </x:c>
      <x:c r="D51" s="26" t="str">
        <x:v>Oil &amp; Gas Refining</x:v>
      </x:c>
      <x:c r="E51" s="27" t="n">
        <x:v>2024</x:v>
      </x:c>
      <x:c r="F51" s="28" t="n">
        <x:v>1418164.33</x:v>
      </x:c>
      <x:c r="G51" s="29" t="n">
        <x:v>28.61</x:v>
      </x:c>
      <x:c r="H51" s="29" t="n">
        <x:v>4.24</x:v>
      </x:c>
      <x:c r="I51" s="29" t="n">
        <x:v>33.71</x:v>
      </x:c>
      <x:c r="J51" s="29" t="n">
        <x:v>50.51</x:v>
      </x:c>
      <x:c r="K51" s="29" t="n">
        <x:v>4.24</x:v>
      </x:c>
      <x:c r="L51" s="29" t="n">
        <x:v>29.7</x:v>
      </x:c>
      <x:c r="M51" s="29" t="n">
        <x:v>44.915</x:v>
      </x:c>
      <x:c r="N51" s="29" t="n">
        <x:v>6</x:v>
      </x:c>
      <x:c r="O51" s="29" t="n">
        <x:v>24.86</x:v>
      </x:c>
      <x:c r="P51" s="30" t="n">
        <x:v>1.25</x:v>
      </x:c>
      <x:c r="Q51" s="28" t="n">
        <x:v>39635</x:v>
      </x:c>
      <x:c r="R51" s="36" t="n">
        <x:f>IFERROR(Q51/F51*100,"")</x:f>
        <x:v>2.794810104975634</x:v>
      </x:c>
      <x:c r="S51" s="36" t="n">
        <x:f>IFERROR((G51/J51-1)*100,"")</x:f>
        <x:v>-43.35775094040783</x:v>
      </x:c>
      <x:c r="T51" s="36" t="n">
        <x:f>IFERROR((I51/O51-1)*100,"")</x:f>
        <x:v>35.59935639581657</x:v>
      </x:c>
      <x:c r="U51" s="37" t="n">
        <x:f>COUNTIFS($C$2:$C$93,C51,$G$2:$G$93,"&lt;"&amp;G51)+1</x:f>
        <x:v>5</x:v>
      </x:c>
      <x:c r="V51" s="37" t="n">
        <x:f>RANK.EQ(P51,$P$2:$P$93,0)</x:f>
        <x:v>66</x:v>
      </x:c>
      <x:c r="W51" s="38" t="str">
        <x:f>IF(G51&gt;M51*1.5,"Caution",IF(G51&lt;M51*0.7,"Discount","Fair"))</x:f>
        <x:v>Discount</x:v>
      </x:c>
      <x:c r="X51" s="38" t="str">
        <x:f>IF(I51&gt;O51*1.2,"Above Sector","Normal")</x:f>
        <x:v>Above Sector</x:v>
      </x:c>
      <x:c r="Y51" s="38" t="str">
        <x:f>IF(W51="Caution","P/E is more than 50% above sector median",IF(W51="Discount","P/E is more than 30% below sector median","P/E is within the normal sector range"))</x:f>
        <x:v>P/E is more than 30% below sector median</x:v>
      </x:c>
    </x:row>
    <x:row r="52">
      <x:c r="A52" s="26" t="str">
        <x:v>IRCTC</x:v>
      </x:c>
      <x:c r="B52" s="26" t="str">
        <x:v>Indian Railway Catering &amp; Tourism Corporation Ltd</x:v>
      </x:c>
      <x:c r="C52" s="26" t="str">
        <x:v>Consumer Discretionary</x:v>
      </x:c>
      <x:c r="D52" s="26" t="str">
        <x:v>Travel &amp; Tourism</x:v>
      </x:c>
      <x:c r="E52" s="27" t="n">
        <x:v>2024</x:v>
      </x:c>
      <x:c r="F52" s="28" t="n">
        <x:v>1258520.29</x:v>
      </x:c>
      <x:c r="G52" s="29" t="n">
        <x:v>60.44</x:v>
      </x:c>
      <x:c r="H52" s="29" t="n">
        <x:v>5.74</x:v>
      </x:c>
      <x:c r="I52" s="29" t="n">
        <x:v>32.47</x:v>
      </x:c>
      <x:c r="J52" s="29" t="n">
        <x:v>36.42</x:v>
      </x:c>
      <x:c r="K52" s="29" t="n">
        <x:v>8.58</x:v>
      </x:c>
      <x:c r="L52" s="29" t="n">
        <x:v>32.47</x:v>
      </x:c>
      <x:c r="M52" s="29" t="n">
        <x:v>38.005</x:v>
      </x:c>
      <x:c r="N52" s="29" t="n">
        <x:v>8.065</x:v>
      </x:c>
      <x:c r="O52" s="29" t="n">
        <x:v>26.455</x:v>
      </x:c>
      <x:c r="P52" s="30" t="n">
        <x:v>1.08</x:v>
      </x:c>
      <x:c r="Q52" s="28" t="n">
        <x:v>667</x:v>
      </x:c>
      <x:c r="R52" s="36" t="n">
        <x:f>IFERROR(Q52/F52*100,"")</x:f>
        <x:v>0.05299874823631171</x:v>
      </x:c>
      <x:c r="S52" s="36" t="n">
        <x:f>IFERROR((G52/J52-1)*100,"")</x:f>
        <x:v>65.95277320153761</x:v>
      </x:c>
      <x:c r="T52" s="36" t="n">
        <x:f>IFERROR((I52/O52-1)*100,"")</x:f>
        <x:v>22.736722736722736</x:v>
      </x:c>
      <x:c r="U52" s="37" t="n">
        <x:f>COUNTIFS($C$2:$C$93,C52,$G$2:$G$93,"&lt;"&amp;G52)+1</x:f>
        <x:v>11</x:v>
      </x:c>
      <x:c r="V52" s="37" t="n">
        <x:f>RANK.EQ(P52,$P$2:$P$93,0)</x:f>
        <x:v>72</x:v>
      </x:c>
      <x:c r="W52" s="38" t="str">
        <x:f>IF(G52&gt;M52*1.5,"Caution",IF(G52&lt;M52*0.7,"Discount","Fair"))</x:f>
        <x:v>Caution</x:v>
      </x:c>
      <x:c r="X52" s="38" t="str">
        <x:f>IF(I52&gt;O52*1.2,"Above Sector","Normal")</x:f>
        <x:v>Above Sector</x:v>
      </x:c>
      <x:c r="Y52" s="38" t="str">
        <x:f>IF(W52="Caution","P/E is more than 50% above sector median",IF(W52="Discount","P/E is more than 30% below sector median","P/E is within the normal sector range"))</x:f>
        <x:v>P/E is more than 50% above sector median</x:v>
      </x:c>
    </x:row>
    <x:row r="53">
      <x:c r="A53" s="26" t="str">
        <x:v>IRFC</x:v>
      </x:c>
      <x:c r="B53" s="26" t="str">
        <x:v>Indian Railway Finance Corporation Ltd</x:v>
      </x:c>
      <x:c r="C53" s="26" t="str">
        <x:v>Financials</x:v>
      </x:c>
      <x:c r="D53" s="26" t="str">
        <x:v>Speciality Finance</x:v>
      </x:c>
      <x:c r="E53" s="27" t="n">
        <x:v>2024</x:v>
      </x:c>
      <x:c r="F53" s="28" t="n">
        <x:v>2618348.58</x:v>
      </x:c>
      <x:c r="G53" s="29" t="n">
        <x:v>9.81</x:v>
      </x:c>
      <x:c r="H53" s="29" t="n">
        <x:v>3.91</x:v>
      </x:c>
      <x:c r="I53" s="29" t="n">
        <x:v>16.66</x:v>
      </x:c>
      <x:c r="J53" s="29" t="n">
        <x:v>37.81</x:v>
      </x:c>
      <x:c r="K53" s="29" t="n">
        <x:v>4.09</x:v>
      </x:c>
      <x:c r="L53" s="29" t="n">
        <x:v>31.7</x:v>
      </x:c>
      <x:c r="M53" s="29" t="n">
        <x:v>34.24</x:v>
      </x:c>
      <x:c r="N53" s="29" t="n">
        <x:v>6.59</x:v>
      </x:c>
      <x:c r="O53" s="29" t="n">
        <x:v>23.95</x:v>
      </x:c>
      <x:c r="P53" s="30" t="n">
        <x:v>2.82</x:v>
      </x:c>
      <x:c r="Q53" s="28" t="n">
        <x:v>7906</x:v>
      </x:c>
      <x:c r="R53" s="36" t="n">
        <x:f>IFERROR(Q53/F53*100,"")</x:f>
        <x:v>0.3019460457018293</x:v>
      </x:c>
      <x:c r="S53" s="36" t="n">
        <x:f>IFERROR((G53/J53-1)*100,"")</x:f>
        <x:v>-74.0544829410209</x:v>
      </x:c>
      <x:c r="T53" s="36" t="n">
        <x:f>IFERROR((I53/O53-1)*100,"")</x:f>
        <x:v>-30.438413361169104</x:v>
      </x:c>
      <x:c r="U53" s="37" t="n">
        <x:f>COUNTIFS($C$2:$C$93,C53,$G$2:$G$93,"&lt;"&amp;G53)+1</x:f>
        <x:v>2</x:v>
      </x:c>
      <x:c r="V53" s="37" t="n">
        <x:f>RANK.EQ(P53,$P$2:$P$93,0)</x:f>
        <x:v>37</x:v>
      </x:c>
      <x:c r="W53" s="38" t="str">
        <x:f>IF(G53&gt;M53*1.5,"Caution",IF(G53&lt;M53*0.7,"Discount","Fair"))</x:f>
        <x:v>Discount</x:v>
      </x:c>
      <x:c r="X53" s="38" t="str">
        <x:f>IF(I53&gt;O53*1.2,"Above Sector","Normal")</x:f>
        <x:v>Normal</x:v>
      </x:c>
      <x:c r="Y53" s="38" t="str">
        <x:f>IF(W53="Caution","P/E is more than 50% above sector median",IF(W53="Discount","P/E is more than 30% below sector median","P/E is within the normal sector range"))</x:f>
        <x:v>P/E is more than 30% below sector median</x:v>
      </x:c>
    </x:row>
    <x:row r="54">
      <x:c r="A54" s="26" t="str">
        <x:v>ITC</x:v>
      </x:c>
      <x:c r="B54" s="26" t="str">
        <x:v>ITC Ltd
</x:v>
      </x:c>
      <x:c r="C54" s="26" t="str">
        <x:v>Consumer Staples</x:v>
      </x:c>
      <x:c r="D54" s="26" t="str">
        <x:v>Diversified FMCG</x:v>
      </x:c>
      <x:c r="E54" s="27" t="n">
        <x:v>2024</x:v>
      </x:c>
      <x:c r="F54" s="28" t="n">
        <x:v>332245.58</x:v>
      </x:c>
      <x:c r="G54" s="29" t="n">
        <x:v>47.85</x:v>
      </x:c>
      <x:c r="H54" s="29" t="n">
        <x:v>3.24</x:v>
      </x:c>
      <x:c r="I54" s="29" t="n">
        <x:v>17.19</x:v>
      </x:c>
      <x:c r="J54" s="29" t="n">
        <x:v>55.53</x:v>
      </x:c>
      <x:c r="K54" s="29" t="n">
        <x:v>3.36</x:v>
      </x:c>
      <x:c r="L54" s="29" t="n">
        <x:v>27.19</x:v>
      </x:c>
      <x:c r="M54" s="29" t="n">
        <x:v>50.95</x:v>
      </x:c>
      <x:c r="N54" s="29" t="n">
        <x:v>8.07</x:v>
      </x:c>
      <x:c r="O54" s="29" t="n">
        <x:v>17.19</x:v>
      </x:c>
      <x:c r="P54" s="30" t="n">
        <x:v>4.26</x:v>
      </x:c>
      <x:c r="Q54" s="28" t="n">
        <x:v>18742</x:v>
      </x:c>
      <x:c r="R54" s="36" t="n">
        <x:f>IFERROR(Q54/F54*100,"")</x:f>
        <x:v>5.641008076014133</x:v>
      </x:c>
      <x:c r="S54" s="36" t="n">
        <x:f>IFERROR((G54/J54-1)*100,"")</x:f>
        <x:v>-13.83036196650459</x:v>
      </x:c>
      <x:c r="T54" s="36" t="n">
        <x:f>IFERROR((I54/O54-1)*100,"")</x:f>
        <x:v>0</x:v>
      </x:c>
      <x:c r="U54" s="37" t="n">
        <x:f>COUNTIFS($C$2:$C$93,C54,$G$2:$G$93,"&lt;"&amp;G54)+1</x:f>
        <x:v>3</x:v>
      </x:c>
      <x:c r="V54" s="37" t="n">
        <x:f>RANK.EQ(P54,$P$2:$P$93,0)</x:f>
        <x:v>8</x:v>
      </x:c>
      <x:c r="W54" s="38" t="str">
        <x:f>IF(G54&gt;M54*1.5,"Caution",IF(G54&lt;M54*0.7,"Discount","Fair"))</x:f>
        <x:v>Fair</x:v>
      </x:c>
      <x:c r="X54" s="38" t="str">
        <x:f>IF(I54&gt;O54*1.2,"Above Sector","Normal")</x:f>
        <x:v>Normal</x:v>
      </x:c>
      <x:c r="Y54" s="38" t="str">
        <x:f>IF(W54="Caution","P/E is more than 50% above sector median",IF(W54="Discount","P/E is more than 30% below sector median","P/E is within the normal sector range"))</x:f>
        <x:v>P/E is within the normal sector range</x:v>
      </x:c>
    </x:row>
    <x:row r="55">
      <x:c r="A55" s="26" t="str">
        <x:v>JINDALSTEL</x:v>
      </x:c>
      <x:c r="B55" s="26" t="str">
        <x:v>Jindal Steel &amp; Power Ltd</x:v>
      </x:c>
      <x:c r="C55" s="26" t="str">
        <x:v>Materials</x:v>
      </x:c>
      <x:c r="D55" s="26" t="str">
        <x:v>Steel</x:v>
      </x:c>
      <x:c r="E55" s="27" t="n">
        <x:v>2024</x:v>
      </x:c>
      <x:c r="F55" s="28" t="n">
        <x:v>396587.97</x:v>
      </x:c>
      <x:c r="G55" s="29" t="n">
        <x:v>77.64</x:v>
      </x:c>
      <x:c r="H55" s="29" t="n">
        <x:v>5.73</x:v>
      </x:c>
      <x:c r="I55" s="29" t="n">
        <x:v>20.22</x:v>
      </x:c>
      <x:c r="J55" s="29" t="n">
        <x:v>47.36</x:v>
      </x:c>
      <x:c r="K55" s="29" t="n">
        <x:v>8.84</x:v>
      </x:c>
      <x:c r="L55" s="29" t="n">
        <x:v>20.22</x:v>
      </x:c>
      <x:c r="M55" s="29" t="n">
        <x:v>55.62</x:v>
      </x:c>
      <x:c r="N55" s="29" t="n">
        <x:v>9.21</x:v>
      </x:c>
      <x:c r="O55" s="29" t="n">
        <x:v>26.58</x:v>
      </x:c>
      <x:c r="P55" s="30" t="n">
        <x:v>1.9</x:v>
      </x:c>
      <x:c r="Q55" s="28" t="n">
        <x:v>-2336</x:v>
      </x:c>
      <x:c r="R55" s="36" t="n">
        <x:f>IFERROR(Q55/F55*100,"")</x:f>
        <x:v>-0.5890244225007633</x:v>
      </x:c>
      <x:c r="S55" s="36" t="n">
        <x:f>IFERROR((G55/J55-1)*100,"")</x:f>
        <x:v>63.935810810810814</x:v>
      </x:c>
      <x:c r="T55" s="36" t="n">
        <x:f>IFERROR((I55/O55-1)*100,"")</x:f>
        <x:v>-23.927765237020317</x:v>
      </x:c>
      <x:c r="U55" s="37" t="n">
        <x:f>COUNTIFS($C$2:$C$93,C55,$G$2:$G$93,"&lt;"&amp;G55)+1</x:f>
        <x:v>9</x:v>
      </x:c>
      <x:c r="V55" s="37" t="n">
        <x:f>RANK.EQ(P55,$P$2:$P$93,0)</x:f>
        <x:v>51</x:v>
      </x:c>
      <x:c r="W55" s="38" t="str">
        <x:f>IF(G55&gt;M55*1.5,"Caution",IF(G55&lt;M55*0.7,"Discount","Fair"))</x:f>
        <x:v>Fair</x:v>
      </x:c>
      <x:c r="X55" s="38" t="str">
        <x:f>IF(I55&gt;O55*1.2,"Above Sector","Normal")</x:f>
        <x:v>Normal</x:v>
      </x:c>
      <x:c r="Y55" s="38" t="str">
        <x:f>IF(W55="Caution","P/E is more than 50% above sector median",IF(W55="Discount","P/E is more than 30% below sector median","P/E is within the normal sector range"))</x:f>
        <x:v>P/E is within the normal sector range</x:v>
      </x:c>
    </x:row>
    <x:row r="56">
      <x:c r="A56" s="26" t="str">
        <x:v>JIOFIN</x:v>
      </x:c>
      <x:c r="B56" s="26" t="str">
        <x:v>Jio Financial Services Ltd</x:v>
      </x:c>
      <x:c r="C56" s="26" t="str">
        <x:v>Financials</x:v>
      </x:c>
      <x:c r="D56" s="26" t="str">
        <x:v>Diversified Financials</x:v>
      </x:c>
      <x:c r="E56" s="27" t="n">
        <x:v>2024</x:v>
      </x:c>
      <x:c r="F56" s="28" t="n">
        <x:v>1401774.99</x:v>
      </x:c>
      <x:c r="G56" s="29" t="n">
        <x:v>34.24</x:v>
      </x:c>
      <x:c r="H56" s="29" t="n">
        <x:v>9.91</x:v>
      </x:c>
      <x:c r="I56" s="29" t="n">
        <x:v>26.41</x:v>
      </x:c>
      <x:c r="J56" s="29" t="n">
        <x:v>65.98</x:v>
      </x:c>
      <x:c r="K56" s="29" t="n">
        <x:v>9.08</x:v>
      </x:c>
      <x:c r="L56" s="29" t="n">
        <x:v>26.41</x:v>
      </x:c>
      <x:c r="M56" s="29" t="n">
        <x:v>34.24</x:v>
      </x:c>
      <x:c r="N56" s="29" t="n">
        <x:v>6.59</x:v>
      </x:c>
      <x:c r="O56" s="29" t="n">
        <x:v>23.95</x:v>
      </x:c>
      <x:c r="P56" s="30" t="n">
        <x:v>3.09</x:v>
      </x:c>
      <x:c r="Q56" s="28" t="n">
        <x:v>763</x:v>
      </x:c>
      <x:c r="R56" s="36" t="n">
        <x:f>IFERROR(Q56/F56*100,"")</x:f>
        <x:v>0.054430989669747215</x:v>
      </x:c>
      <x:c r="S56" s="36" t="n">
        <x:f>IFERROR((G56/J56-1)*100,"")</x:f>
        <x:v>-48.10548651106396</x:v>
      </x:c>
      <x:c r="T56" s="36" t="n">
        <x:f>IFERROR((I56/O56-1)*100,"")</x:f>
        <x:v>10.271398747390403</x:v>
      </x:c>
      <x:c r="U56" s="37" t="n">
        <x:f>COUNTIFS($C$2:$C$93,C56,$G$2:$G$93,"&lt;"&amp;G56)+1</x:f>
        <x:v>12</x:v>
      </x:c>
      <x:c r="V56" s="37" t="n">
        <x:f>RANK.EQ(P56,$P$2:$P$93,0)</x:f>
        <x:v>31</x:v>
      </x:c>
      <x:c r="W56" s="38" t="str">
        <x:f>IF(G56&gt;M56*1.5,"Caution",IF(G56&lt;M56*0.7,"Discount","Fair"))</x:f>
        <x:v>Fair</x:v>
      </x:c>
      <x:c r="X56" s="38" t="str">
        <x:f>IF(I56&gt;O56*1.2,"Above Sector","Normal")</x:f>
        <x:v>Normal</x:v>
      </x:c>
      <x:c r="Y56" s="38" t="str">
        <x:f>IF(W56="Caution","P/E is more than 50% above sector median",IF(W56="Discount","P/E is more than 30% below sector median","P/E is within the normal sector range"))</x:f>
        <x:v>P/E is within the normal sector range</x:v>
      </x:c>
    </x:row>
    <x:row r="57">
      <x:c r="A57" s="26" t="str">
        <x:v>JSWENERGY</x:v>
      </x:c>
      <x:c r="B57" s="26" t="str">
        <x:v>JSW Energy Ltd</x:v>
      </x:c>
      <x:c r="C57" s="26" t="str">
        <x:v>Energy</x:v>
      </x:c>
      <x:c r="D57" s="26" t="str">
        <x:v>Power &amp; Utilities</x:v>
      </x:c>
      <x:c r="E57" s="27" t="n">
        <x:v>2024</x:v>
      </x:c>
      <x:c r="F57" s="28" t="n">
        <x:v>110870.53</x:v>
      </x:c>
      <x:c r="G57" s="29" t="n">
        <x:v>24.79</x:v>
      </x:c>
      <x:c r="H57" s="29" t="n">
        <x:v>9.88</x:v>
      </x:c>
      <x:c r="I57" s="29" t="n">
        <x:v>35.95</x:v>
      </x:c>
      <x:c r="J57" s="29" t="n">
        <x:v>36.57</x:v>
      </x:c>
      <x:c r="K57" s="29" t="n">
        <x:v>3.09</x:v>
      </x:c>
      <x:c r="L57" s="29" t="n">
        <x:v>28.05</x:v>
      </x:c>
      <x:c r="M57" s="29" t="n">
        <x:v>44.915</x:v>
      </x:c>
      <x:c r="N57" s="29" t="n">
        <x:v>6</x:v>
      </x:c>
      <x:c r="O57" s="29" t="n">
        <x:v>24.86</x:v>
      </x:c>
      <x:c r="P57" s="30" t="n">
        <x:v>1.25</x:v>
      </x:c>
      <x:c r="Q57" s="28" t="n">
        <x:v>-1963</x:v>
      </x:c>
      <x:c r="R57" s="36" t="n">
        <x:f>IFERROR(Q57/F57*100,"")</x:f>
        <x:v>-1.7705336124937798</x:v>
      </x:c>
      <x:c r="S57" s="36" t="n">
        <x:f>IFERROR((G57/J57-1)*100,"")</x:f>
        <x:v>-32.212195788898</x:v>
      </x:c>
      <x:c r="T57" s="36" t="n">
        <x:f>IFERROR((I57/O57-1)*100,"")</x:f>
        <x:v>44.60981496379728</x:v>
      </x:c>
      <x:c r="U57" s="37" t="n">
        <x:f>COUNTIFS($C$2:$C$93,C57,$G$2:$G$93,"&lt;"&amp;G57)+1</x:f>
        <x:v>3</x:v>
      </x:c>
      <x:c r="V57" s="37" t="n">
        <x:f>RANK.EQ(P57,$P$2:$P$93,0)</x:f>
        <x:v>66</x:v>
      </x:c>
      <x:c r="W57" s="38" t="str">
        <x:f>IF(G57&gt;M57*1.5,"Caution",IF(G57&lt;M57*0.7,"Discount","Fair"))</x:f>
        <x:v>Discount</x:v>
      </x:c>
      <x:c r="X57" s="38" t="str">
        <x:f>IF(I57&gt;O57*1.2,"Above Sector","Normal")</x:f>
        <x:v>Above Sector</x:v>
      </x:c>
      <x:c r="Y57" s="38" t="str">
        <x:f>IF(W57="Caution","P/E is more than 50% above sector median",IF(W57="Discount","P/E is more than 30% below sector median","P/E is within the normal sector range"))</x:f>
        <x:v>P/E is more than 30% below sector median</x:v>
      </x:c>
    </x:row>
    <x:row r="58">
      <x:c r="A58" s="26" t="str">
        <x:v>JSWSTEEL</x:v>
      </x:c>
      <x:c r="B58" s="26" t="str">
        <x:v>JSW Steel Ltd</x:v>
      </x:c>
      <x:c r="C58" s="26" t="str">
        <x:v>Materials</x:v>
      </x:c>
      <x:c r="D58" s="26" t="str">
        <x:v>Steel</x:v>
      </x:c>
      <x:c r="E58" s="27" t="n">
        <x:v>2024</x:v>
      </x:c>
      <x:c r="F58" s="28" t="n">
        <x:v>2612646.38</x:v>
      </x:c>
      <x:c r="G58" s="29" t="n">
        <x:v>69.27</x:v>
      </x:c>
      <x:c r="H58" s="29" t="n">
        <x:v>4.37</x:v>
      </x:c>
      <x:c r="I58" s="29" t="n">
        <x:v>35.49</x:v>
      </x:c>
      <x:c r="J58" s="29" t="n">
        <x:v>36.76</x:v>
      </x:c>
      <x:c r="K58" s="29" t="n">
        <x:v>4.37</x:v>
      </x:c>
      <x:c r="L58" s="29" t="n">
        <x:v>33.75</x:v>
      </x:c>
      <x:c r="M58" s="29" t="n">
        <x:v>55.62</x:v>
      </x:c>
      <x:c r="N58" s="29" t="n">
        <x:v>9.21</x:v>
      </x:c>
      <x:c r="O58" s="29" t="n">
        <x:v>26.58</x:v>
      </x:c>
      <x:c r="P58" s="30" t="n">
        <x:v>2.94</x:v>
      </x:c>
      <x:c r="Q58" s="28" t="n">
        <x:v>-2389</x:v>
      </x:c>
      <x:c r="R58" s="36" t="n">
        <x:f>IFERROR(Q58/F58*100,"")</x:f>
        <x:v>-0.09143985264473488</x:v>
      </x:c>
      <x:c r="S58" s="36" t="n">
        <x:f>IFERROR((G58/J58-1)*100,"")</x:f>
        <x:v>88.43852013057672</x:v>
      </x:c>
      <x:c r="T58" s="36" t="n">
        <x:f>IFERROR((I58/O58-1)*100,"")</x:f>
        <x:v>33.52144469525962</x:v>
      </x:c>
      <x:c r="U58" s="37" t="n">
        <x:f>COUNTIFS($C$2:$C$93,C58,$G$2:$G$93,"&lt;"&amp;G58)+1</x:f>
        <x:v>7</x:v>
      </x:c>
      <x:c r="V58" s="37" t="n">
        <x:f>RANK.EQ(P58,$P$2:$P$93,0)</x:f>
        <x:v>35</x:v>
      </x:c>
      <x:c r="W58" s="38" t="str">
        <x:f>IF(G58&gt;M58*1.5,"Caution",IF(G58&lt;M58*0.7,"Discount","Fair"))</x:f>
        <x:v>Fair</x:v>
      </x:c>
      <x:c r="X58" s="38" t="str">
        <x:f>IF(I58&gt;O58*1.2,"Above Sector","Normal")</x:f>
        <x:v>Above Sector</x:v>
      </x:c>
      <x:c r="Y58" s="38" t="str">
        <x:f>IF(W58="Caution","P/E is more than 50% above sector median",IF(W58="Discount","P/E is more than 30% below sector median","P/E is within the normal sector range"))</x:f>
        <x:v>P/E is within the normal sector range</x:v>
      </x:c>
    </x:row>
    <x:row r="59">
      <x:c r="A59" s="26" t="str">
        <x:v>KOTAKBANK</x:v>
      </x:c>
      <x:c r="B59" s="26" t="str">
        <x:v>Kotak Mahindra Bank Ltd
</x:v>
      </x:c>
      <x:c r="C59" s="26" t="str">
        <x:v>Financials</x:v>
      </x:c>
      <x:c r="D59" s="26" t="str">
        <x:v>Private Banks</x:v>
      </x:c>
      <x:c r="E59" s="27" t="n">
        <x:v>2024</x:v>
      </x:c>
      <x:c r="F59" s="28" t="n">
        <x:v>430223.52</x:v>
      </x:c>
      <x:c r="G59" s="29" t="n">
        <x:v>32.9</x:v>
      </x:c>
      <x:c r="H59" s="29" t="n">
        <x:v>1.15</x:v>
      </x:c>
      <x:c r="I59" s="29" t="n">
        <x:v>15.52</x:v>
      </x:c>
      <x:c r="J59" s="29" t="n">
        <x:v>43.71</x:v>
      </x:c>
      <x:c r="K59" s="29" t="n">
        <x:v>3.75</x:v>
      </x:c>
      <x:c r="L59" s="29" t="n">
        <x:v>28.55</x:v>
      </x:c>
      <x:c r="M59" s="29" t="n">
        <x:v>34.24</x:v>
      </x:c>
      <x:c r="N59" s="29" t="n">
        <x:v>6.59</x:v>
      </x:c>
      <x:c r="O59" s="29" t="n">
        <x:v>23.95</x:v>
      </x:c>
      <x:c r="P59" s="30" t="n">
        <x:v>1.51</x:v>
      </x:c>
      <x:c r="Q59" s="28" t="n">
        <x:v>6766</x:v>
      </x:c>
      <x:c r="R59" s="36" t="n">
        <x:f>IFERROR(Q59/F59*100,"")</x:f>
        <x:v>1.5726708758275234</x:v>
      </x:c>
      <x:c r="S59" s="36" t="n">
        <x:f>IFERROR((G59/J59-1)*100,"")</x:f>
        <x:v>-24.731182795698924</x:v>
      </x:c>
      <x:c r="T59" s="36" t="n">
        <x:f>IFERROR((I59/O59-1)*100,"")</x:f>
        <x:v>-35.19832985386221</x:v>
      </x:c>
      <x:c r="U59" s="37" t="n">
        <x:f>COUNTIFS($C$2:$C$93,C59,$G$2:$G$93,"&lt;"&amp;G59)+1</x:f>
        <x:v>11</x:v>
      </x:c>
      <x:c r="V59" s="37" t="n">
        <x:f>RANK.EQ(P59,$P$2:$P$93,0)</x:f>
        <x:v>61</x:v>
      </x:c>
      <x:c r="W59" s="38" t="str">
        <x:f>IF(G59&gt;M59*1.5,"Caution",IF(G59&lt;M59*0.7,"Discount","Fair"))</x:f>
        <x:v>Fair</x:v>
      </x:c>
      <x:c r="X59" s="38" t="str">
        <x:f>IF(I59&gt;O59*1.2,"Above Sector","Normal")</x:f>
        <x:v>Normal</x:v>
      </x:c>
      <x:c r="Y59" s="38" t="str">
        <x:f>IF(W59="Caution","P/E is more than 50% above sector median",IF(W59="Discount","P/E is more than 30% below sector median","P/E is within the normal sector range"))</x:f>
        <x:v>P/E is within the normal sector range</x:v>
      </x:c>
    </x:row>
    <x:row r="60">
      <x:c r="A60" s="26" t="str">
        <x:v>LICI</x:v>
      </x:c>
      <x:c r="B60" s="26" t="str">
        <x:v>Life Insurance Corporation of India</x:v>
      </x:c>
      <x:c r="C60" s="26" t="str">
        <x:v>Financials</x:v>
      </x:c>
      <x:c r="D60" s="26" t="str">
        <x:v>Life Insurance</x:v>
      </x:c>
      <x:c r="E60" s="27" t="n">
        <x:v>2024</x:v>
      </x:c>
      <x:c r="F60" s="28" t="n">
        <x:v>183583.67</x:v>
      </x:c>
      <x:c r="G60" s="29" t="n">
        <x:v>30.67</x:v>
      </x:c>
      <x:c r="H60" s="29" t="n">
        <x:v>8.1</x:v>
      </x:c>
      <x:c r="I60" s="29" t="n">
        <x:v>12.21</x:v>
      </x:c>
      <x:c r="J60" s="29" t="n">
        <x:v>30.67</x:v>
      </x:c>
      <x:c r="K60" s="29" t="n">
        <x:v>7.85</x:v>
      </x:c>
      <x:c r="L60" s="29" t="n">
        <x:v>12.21</x:v>
      </x:c>
      <x:c r="M60" s="29" t="n">
        <x:v>34.24</x:v>
      </x:c>
      <x:c r="N60" s="29" t="n">
        <x:v>6.59</x:v>
      </x:c>
      <x:c r="O60" s="29" t="n">
        <x:v>23.95</x:v>
      </x:c>
      <x:c r="P60" s="30" t="n">
        <x:v>3.77</x:v>
      </x:c>
      <x:c r="Q60" s="28" t="n">
        <x:v>853</x:v>
      </x:c>
      <x:c r="R60" s="36" t="n">
        <x:f>IFERROR(Q60/F60*100,"")</x:f>
        <x:v>0.46463827637828564</x:v>
      </x:c>
      <x:c r="S60" s="36" t="n">
        <x:f>IFERROR((G60/J60-1)*100,"")</x:f>
        <x:v>0</x:v>
      </x:c>
      <x:c r="T60" s="36" t="n">
        <x:f>IFERROR((I60/O60-1)*100,"")</x:f>
        <x:v>-49.0187891440501</x:v>
      </x:c>
      <x:c r="U60" s="37" t="n">
        <x:f>COUNTIFS($C$2:$C$93,C60,$G$2:$G$93,"&lt;"&amp;G60)+1</x:f>
        <x:v>9</x:v>
      </x:c>
      <x:c r="V60" s="37" t="n">
        <x:f>RANK.EQ(P60,$P$2:$P$93,0)</x:f>
        <x:v>17</x:v>
      </x:c>
      <x:c r="W60" s="38" t="str">
        <x:f>IF(G60&gt;M60*1.5,"Caution",IF(G60&lt;M60*0.7,"Discount","Fair"))</x:f>
        <x:v>Fair</x:v>
      </x:c>
      <x:c r="X60" s="38" t="str">
        <x:f>IF(I60&gt;O60*1.2,"Above Sector","Normal")</x:f>
        <x:v>Normal</x:v>
      </x:c>
      <x:c r="Y60" s="38" t="str">
        <x:f>IF(W60="Caution","P/E is more than 50% above sector median",IF(W60="Discount","P/E is more than 30% below sector median","P/E is within the normal sector range"))</x:f>
        <x:v>P/E is within the normal sector range</x:v>
      </x:c>
    </x:row>
    <x:row r="61">
      <x:c r="A61" s="26" t="str">
        <x:v>LODHA</x:v>
      </x:c>
      <x:c r="B61" s="26" t="str">
        <x:v>Macrotech Developers Ltd</x:v>
      </x:c>
      <x:c r="C61" s="26" t="str">
        <x:v>Real Estate</x:v>
      </x:c>
      <x:c r="D61" s="26" t="str">
        <x:v>Real Estate</x:v>
      </x:c>
      <x:c r="E61" s="27" t="n">
        <x:v>2024</x:v>
      </x:c>
      <x:c r="F61" s="28" t="n">
        <x:v>1209919.99</x:v>
      </x:c>
      <x:c r="G61" s="29" t="n">
        <x:v>51.95</x:v>
      </x:c>
      <x:c r="H61" s="29" t="n">
        <x:v>7.65</x:v>
      </x:c>
      <x:c r="I61" s="29" t="n">
        <x:v>34.33</x:v>
      </x:c>
      <x:c r="J61" s="29" t="n">
        <x:v>51.95</x:v>
      </x:c>
      <x:c r="K61" s="29" t="n">
        <x:v>11.25</x:v>
      </x:c>
      <x:c r="L61" s="29" t="n">
        <x:v>18.41</x:v>
      </x:c>
      <x:c r="M61" s="29" t="n">
        <x:v>49.105000000000004</x:v>
      </x:c>
      <x:c r="N61" s="29" t="n">
        <x:v>10.985</x:v>
      </x:c>
      <x:c r="O61" s="29" t="n">
        <x:v>22.369999999999997</x:v>
      </x:c>
      <x:c r="P61" s="30" t="n">
        <x:v>4.05</x:v>
      </x:c>
      <x:c r="Q61" s="28" t="n">
        <x:v>-435</x:v>
      </x:c>
      <x:c r="R61" s="36" t="n">
        <x:f>IFERROR(Q61/F61*100,"")</x:f>
        <x:v>-0.03595279056427525</x:v>
      </x:c>
      <x:c r="S61" s="36" t="n">
        <x:f>IFERROR((G61/J61-1)*100,"")</x:f>
        <x:v>0</x:v>
      </x:c>
      <x:c r="T61" s="36" t="n">
        <x:f>IFERROR((I61/O61-1)*100,"")</x:f>
        <x:v>53.46446133214127</x:v>
      </x:c>
      <x:c r="U61" s="37" t="n">
        <x:f>COUNTIFS($C$2:$C$93,C61,$G$2:$G$93,"&lt;"&amp;G61)+1</x:f>
        <x:v>2</x:v>
      </x:c>
      <x:c r="V61" s="37" t="n">
        <x:f>RANK.EQ(P61,$P$2:$P$93,0)</x:f>
        <x:v>12</x:v>
      </x:c>
      <x:c r="W61" s="38" t="str">
        <x:f>IF(G61&gt;M61*1.5,"Caution",IF(G61&lt;M61*0.7,"Discount","Fair"))</x:f>
        <x:v>Fair</x:v>
      </x:c>
      <x:c r="X61" s="38" t="str">
        <x:f>IF(I61&gt;O61*1.2,"Above Sector","Normal")</x:f>
        <x:v>Above Sector</x:v>
      </x:c>
      <x:c r="Y61" s="38" t="str">
        <x:f>IF(W61="Caution","P/E is more than 50% above sector median",IF(W61="Discount","P/E is more than 30% below sector median","P/E is within the normal sector range"))</x:f>
        <x:v>P/E is within the normal sector range</x:v>
      </x:c>
    </x:row>
    <x:row r="62">
      <x:c r="A62" s="26" t="str">
        <x:v>LT</x:v>
      </x:c>
      <x:c r="B62" s="26" t="str">
        <x:v>Larsen &amp; Toubro Ltd</x:v>
      </x:c>
      <x:c r="C62" s="26" t="str">
        <x:v>Industrials</x:v>
      </x:c>
      <x:c r="D62" s="26" t="str">
        <x:v>Engineering &amp; Construction</x:v>
      </x:c>
      <x:c r="E62" s="27" t="n">
        <x:v>2024</x:v>
      </x:c>
      <x:c r="F62" s="28" t="n">
        <x:v>1124597.5</x:v>
      </x:c>
      <x:c r="G62" s="29" t="n">
        <x:v>30.8</x:v>
      </x:c>
      <x:c r="H62" s="29" t="n">
        <x:v>2.48</x:v>
      </x:c>
      <x:c r="I62" s="29" t="n">
        <x:v>16.63</x:v>
      </x:c>
      <x:c r="J62" s="29" t="n">
        <x:v>18.77</x:v>
      </x:c>
      <x:c r="K62" s="29" t="n">
        <x:v>9.07</x:v>
      </x:c>
      <x:c r="L62" s="29" t="n">
        <x:v>10.51</x:v>
      </x:c>
      <x:c r="M62" s="29" t="n">
        <x:v>47.155</x:v>
      </x:c>
      <x:c r="N62" s="29" t="n">
        <x:v>7.45</x:v>
      </x:c>
      <x:c r="O62" s="29" t="n">
        <x:v>22.365000000000002</x:v>
      </x:c>
      <x:c r="P62" s="30" t="n">
        <x:v>1.26</x:v>
      </x:c>
      <x:c r="Q62" s="28" t="n">
        <x:v>20445</x:v>
      </x:c>
      <x:c r="R62" s="36" t="n">
        <x:f>IFERROR(Q62/F62*100,"")</x:f>
        <x:v>1.8179837675257147</x:v>
      </x:c>
      <x:c r="S62" s="36" t="n">
        <x:f>IFERROR((G62/J62-1)*100,"")</x:f>
        <x:v>64.09163558870539</x:v>
      </x:c>
      <x:c r="T62" s="36" t="n">
        <x:f>IFERROR((I62/O62-1)*100,"")</x:f>
        <x:v>-25.64274536105523</x:v>
      </x:c>
      <x:c r="U62" s="37" t="n">
        <x:f>COUNTIFS($C$2:$C$93,C62,$G$2:$G$93,"&lt;"&amp;G62)+1</x:f>
        <x:v>3</x:v>
      </x:c>
      <x:c r="V62" s="37" t="n">
        <x:f>RANK.EQ(P62,$P$2:$P$93,0)</x:f>
        <x:v>65</x:v>
      </x:c>
      <x:c r="W62" s="38" t="str">
        <x:f>IF(G62&gt;M62*1.5,"Caution",IF(G62&lt;M62*0.7,"Discount","Fair"))</x:f>
        <x:v>Discount</x:v>
      </x:c>
      <x:c r="X62" s="38" t="str">
        <x:f>IF(I62&gt;O62*1.2,"Above Sector","Normal")</x:f>
        <x:v>Normal</x:v>
      </x:c>
      <x:c r="Y62" s="38" t="str">
        <x:f>IF(W62="Caution","P/E is more than 50% above sector median",IF(W62="Discount","P/E is more than 30% below sector median","P/E is within the normal sector range"))</x:f>
        <x:v>P/E is more than 30% below sector median</x:v>
      </x:c>
    </x:row>
    <x:row r="63">
      <x:c r="A63" s="26" t="str">
        <x:v>LTIM</x:v>
      </x:c>
      <x:c r="B63" s="26" t="str">
        <x:v>LTIMindtree Ltd</x:v>
      </x:c>
      <x:c r="C63" s="26" t="str">
        <x:v>Information Technology</x:v>
      </x:c>
      <x:c r="D63" s="26" t="str">
        <x:v>IT Services</x:v>
      </x:c>
      <x:c r="E63" s="27" t="n">
        <x:v>2024</x:v>
      </x:c>
      <x:c r="F63" s="28" t="n">
        <x:v>1347046.9</x:v>
      </x:c>
      <x:c r="G63" s="29" t="n">
        <x:v>64.52</x:v>
      </x:c>
      <x:c r="H63" s="29" t="n">
        <x:v>2.38</x:v>
      </x:c>
      <x:c r="I63" s="29" t="n">
        <x:v>18.9</x:v>
      </x:c>
      <x:c r="J63" s="29" t="n">
        <x:v>61.37</x:v>
      </x:c>
      <x:c r="K63" s="29" t="n">
        <x:v>3.82</x:v>
      </x:c>
      <x:c r="L63" s="29" t="n">
        <x:v>18.9</x:v>
      </x:c>
      <x:c r="M63" s="29" t="n">
        <x:v>63.63</x:v>
      </x:c>
      <x:c r="N63" s="29" t="n">
        <x:v>6.08</x:v>
      </x:c>
      <x:c r="O63" s="29" t="n">
        <x:v>29.94</x:v>
      </x:c>
      <x:c r="P63" s="30" t="n">
        <x:v>4.43</x:v>
      </x:c>
      <x:c r="Q63" s="28" t="n">
        <x:v>1752</x:v>
      </x:c>
      <x:c r="R63" s="36" t="n">
        <x:f>IFERROR(Q63/F63*100,"")</x:f>
        <x:v>0.13006228662120078</x:v>
      </x:c>
      <x:c r="S63" s="36" t="n">
        <x:f>IFERROR((G63/J63-1)*100,"")</x:f>
        <x:v>5.1328010428548065</x:v>
      </x:c>
      <x:c r="T63" s="36" t="n">
        <x:f>IFERROR((I63/O63-1)*100,"")</x:f>
        <x:v>-36.873747494989985</x:v>
      </x:c>
      <x:c r="U63" s="37" t="n">
        <x:f>COUNTIFS($C$2:$C$93,C63,$G$2:$G$93,"&lt;"&amp;G63)+1</x:f>
        <x:v>4</x:v>
      </x:c>
      <x:c r="V63" s="37" t="n">
        <x:f>RANK.EQ(P63,$P$2:$P$93,0)</x:f>
        <x:v>1</x:v>
      </x:c>
      <x:c r="W63" s="38" t="str">
        <x:f>IF(G63&gt;M63*1.5,"Caution",IF(G63&lt;M63*0.7,"Discount","Fair"))</x:f>
        <x:v>Fair</x:v>
      </x:c>
      <x:c r="X63" s="38" t="str">
        <x:f>IF(I63&gt;O63*1.2,"Above Sector","Normal")</x:f>
        <x:v>Normal</x:v>
      </x:c>
      <x:c r="Y63" s="38" t="str">
        <x:f>IF(W63="Caution","P/E is more than 50% above sector median",IF(W63="Discount","P/E is more than 30% below sector median","P/E is within the normal sector range"))</x:f>
        <x:v>P/E is within the normal sector range</x:v>
      </x:c>
    </x:row>
    <x:row r="64">
      <x:c r="A64" s="26" t="str">
        <x:v>M&amp;M</x:v>
      </x:c>
      <x:c r="B64" s="26" t="str">
        <x:v>Mahindra &amp; Mahindra Ltd
</x:v>
      </x:c>
      <x:c r="C64" s="26" t="str">
        <x:v>Consumer Discretionary</x:v>
      </x:c>
      <x:c r="D64" s="26" t="str">
        <x:v>Automobiles</x:v>
      </x:c>
      <x:c r="E64" s="27" t="n">
        <x:v>2024</x:v>
      </x:c>
      <x:c r="F64" s="28" t="n">
        <x:v>4173085.48</x:v>
      </x:c>
      <x:c r="G64" s="29" t="n">
        <x:v>14.22</x:v>
      </x:c>
      <x:c r="H64" s="29" t="n">
        <x:v>0.81</x:v>
      </x:c>
      <x:c r="I64" s="29" t="n">
        <x:v>29.08</x:v>
      </x:c>
      <x:c r="J64" s="29" t="n">
        <x:v>34.84</x:v>
      </x:c>
      <x:c r="K64" s="29" t="n">
        <x:v>13.53</x:v>
      </x:c>
      <x:c r="L64" s="29" t="n">
        <x:v>22.42</x:v>
      </x:c>
      <x:c r="M64" s="29" t="n">
        <x:v>38.005</x:v>
      </x:c>
      <x:c r="N64" s="29" t="n">
        <x:v>8.065</x:v>
      </x:c>
      <x:c r="O64" s="29" t="n">
        <x:v>26.455</x:v>
      </x:c>
      <x:c r="P64" s="30" t="n">
        <x:v>2.37</x:v>
      </x:c>
      <x:c r="Q64" s="28" t="n">
        <x:v>-11245</x:v>
      </x:c>
      <x:c r="R64" s="36" t="n">
        <x:f>IFERROR(Q64/F64*100,"")</x:f>
        <x:v>-0.2694648852484086</x:v>
      </x:c>
      <x:c r="S64" s="36" t="n">
        <x:f>IFERROR((G64/J64-1)*100,"")</x:f>
        <x:v>-59.18484500574053</x:v>
      </x:c>
      <x:c r="T64" s="36" t="n">
        <x:f>IFERROR((I64/O64-1)*100,"")</x:f>
        <x:v>9.922509922509914</x:v>
      </x:c>
      <x:c r="U64" s="37" t="n">
        <x:f>COUNTIFS($C$2:$C$93,C64,$G$2:$G$93,"&lt;"&amp;G64)+1</x:f>
        <x:v>4</x:v>
      </x:c>
      <x:c r="V64" s="37" t="n">
        <x:f>RANK.EQ(P64,$P$2:$P$93,0)</x:f>
        <x:v>44</x:v>
      </x:c>
      <x:c r="W64" s="38" t="str">
        <x:f>IF(G64&gt;M64*1.5,"Caution",IF(G64&lt;M64*0.7,"Discount","Fair"))</x:f>
        <x:v>Discount</x:v>
      </x:c>
      <x:c r="X64" s="38" t="str">
        <x:f>IF(I64&gt;O64*1.2,"Above Sector","Normal")</x:f>
        <x:v>Normal</x:v>
      </x:c>
      <x:c r="Y64" s="38" t="str">
        <x:f>IF(W64="Caution","P/E is more than 50% above sector median",IF(W64="Discount","P/E is more than 30% below sector median","P/E is within the normal sector range"))</x:f>
        <x:v>P/E is more than 30% below sector median</x:v>
      </x:c>
    </x:row>
    <x:row r="65">
      <x:c r="A65" s="26" t="str">
        <x:v>MARUTI</x:v>
      </x:c>
      <x:c r="B65" s="26" t="str">
        <x:v>Maruti Suzuki India Ltd</x:v>
      </x:c>
      <x:c r="C65" s="26" t="str">
        <x:v>Consumer Discretionary</x:v>
      </x:c>
      <x:c r="D65" s="26" t="str">
        <x:v>Automobiles</x:v>
      </x:c>
      <x:c r="E65" s="27" t="n">
        <x:v>2024</x:v>
      </x:c>
      <x:c r="F65" s="28" t="n">
        <x:v>1503863.63</x:v>
      </x:c>
      <x:c r="G65" s="29" t="n">
        <x:v>20.78</x:v>
      </x:c>
      <x:c r="H65" s="29" t="n">
        <x:v>8.26</x:v>
      </x:c>
      <x:c r="I65" s="29" t="n">
        <x:v>29.97</x:v>
      </x:c>
      <x:c r="J65" s="29" t="n">
        <x:v>20.78</x:v>
      </x:c>
      <x:c r="K65" s="29" t="n">
        <x:v>6.22</x:v>
      </x:c>
      <x:c r="L65" s="29" t="n">
        <x:v>22.48</x:v>
      </x:c>
      <x:c r="M65" s="29" t="n">
        <x:v>38.005</x:v>
      </x:c>
      <x:c r="N65" s="29" t="n">
        <x:v>8.065</x:v>
      </x:c>
      <x:c r="O65" s="29" t="n">
        <x:v>26.455</x:v>
      </x:c>
      <x:c r="P65" s="30" t="n">
        <x:v>1.78</x:v>
      </x:c>
      <x:c r="Q65" s="28" t="n">
        <x:v>4936</x:v>
      </x:c>
      <x:c r="R65" s="36" t="n">
        <x:f>IFERROR(Q65/F65*100,"")</x:f>
        <x:v>0.3282212496887102</x:v>
      </x:c>
      <x:c r="S65" s="36" t="n">
        <x:f>IFERROR((G65/J65-1)*100,"")</x:f>
        <x:v>0</x:v>
      </x:c>
      <x:c r="T65" s="36" t="n">
        <x:f>IFERROR((I65/O65-1)*100,"")</x:f>
        <x:v>13.286713286713292</x:v>
      </x:c>
      <x:c r="U65" s="37" t="n">
        <x:f>COUNTIFS($C$2:$C$93,C65,$G$2:$G$93,"&lt;"&amp;G65)+1</x:f>
        <x:v>6</x:v>
      </x:c>
      <x:c r="V65" s="37" t="n">
        <x:f>RANK.EQ(P65,$P$2:$P$93,0)</x:f>
        <x:v>55</x:v>
      </x:c>
      <x:c r="W65" s="38" t="str">
        <x:f>IF(G65&gt;M65*1.5,"Caution",IF(G65&lt;M65*0.7,"Discount","Fair"))</x:f>
        <x:v>Discount</x:v>
      </x:c>
      <x:c r="X65" s="38" t="str">
        <x:f>IF(I65&gt;O65*1.2,"Above Sector","Normal")</x:f>
        <x:v>Normal</x:v>
      </x:c>
      <x:c r="Y65" s="38" t="str">
        <x:f>IF(W65="Caution","P/E is more than 50% above sector median",IF(W65="Discount","P/E is more than 30% below sector median","P/E is within the normal sector range"))</x:f>
        <x:v>P/E is more than 30% below sector median</x:v>
      </x:c>
    </x:row>
    <x:row r="66">
      <x:c r="A66" s="26" t="str">
        <x:v>MOTHERSON</x:v>
      </x:c>
      <x:c r="B66" s="26" t="str">
        <x:v>Samvardhana Motherson International Ltd</x:v>
      </x:c>
      <x:c r="C66" s="26" t="str">
        <x:v>Consumer Discretionary</x:v>
      </x:c>
      <x:c r="D66" s="26" t="str">
        <x:v>Auto Ancillaries</x:v>
      </x:c>
      <x:c r="E66" s="27" t="n">
        <x:v>2024</x:v>
      </x:c>
      <x:c r="F66" s="28" t="n">
        <x:v>146151.16</x:v>
      </x:c>
      <x:c r="G66" s="29" t="n">
        <x:v>9.54</x:v>
      </x:c>
      <x:c r="H66" s="29" t="n">
        <x:v>2.38</x:v>
      </x:c>
      <x:c r="I66" s="29" t="n">
        <x:v>33.39</x:v>
      </x:c>
      <x:c r="J66" s="29" t="n">
        <x:v>30.92</x:v>
      </x:c>
      <x:c r="K66" s="29" t="n">
        <x:v>10.45</x:v>
      </x:c>
      <x:c r="L66" s="29" t="n">
        <x:v>28.62</x:v>
      </x:c>
      <x:c r="M66" s="29" t="n">
        <x:v>38.005</x:v>
      </x:c>
      <x:c r="N66" s="29" t="n">
        <x:v>8.065</x:v>
      </x:c>
      <x:c r="O66" s="29" t="n">
        <x:v>26.455</x:v>
      </x:c>
      <x:c r="P66" s="30" t="n">
        <x:v>2.18</x:v>
      </x:c>
      <x:c r="Q66" s="28" t="n">
        <x:v>925</x:v>
      </x:c>
      <x:c r="R66" s="36" t="n">
        <x:f>IFERROR(Q66/F66*100,"")</x:f>
        <x:v>0.6329063689949501</x:v>
      </x:c>
      <x:c r="S66" s="36" t="n">
        <x:f>IFERROR((G66/J66-1)*100,"")</x:f>
        <x:v>-69.14618369987065</x:v>
      </x:c>
      <x:c r="T66" s="36" t="n">
        <x:f>IFERROR((I66/O66-1)*100,"")</x:f>
        <x:v>26.21432621432622</x:v>
      </x:c>
      <x:c r="U66" s="37" t="n">
        <x:f>COUNTIFS($C$2:$C$93,C66,$G$2:$G$93,"&lt;"&amp;G66)+1</x:f>
        <x:v>2</x:v>
      </x:c>
      <x:c r="V66" s="37" t="n">
        <x:f>RANK.EQ(P66,$P$2:$P$93,0)</x:f>
        <x:v>46</x:v>
      </x:c>
      <x:c r="W66" s="38" t="str">
        <x:f>IF(G66&gt;M66*1.5,"Caution",IF(G66&lt;M66*0.7,"Discount","Fair"))</x:f>
        <x:v>Discount</x:v>
      </x:c>
      <x:c r="X66" s="38" t="str">
        <x:f>IF(I66&gt;O66*1.2,"Above Sector","Normal")</x:f>
        <x:v>Above Sector</x:v>
      </x:c>
      <x:c r="Y66" s="38" t="str">
        <x:f>IF(W66="Caution","P/E is more than 50% above sector median",IF(W66="Discount","P/E is more than 30% below sector median","P/E is within the normal sector range"))</x:f>
        <x:v>P/E is more than 30% below sector median</x:v>
      </x:c>
    </x:row>
    <x:row r="67">
      <x:c r="A67" s="26" t="str">
        <x:v>NAUKRI</x:v>
      </x:c>
      <x:c r="B67" s="26" t="str">
        <x:v>Info Edge (India) Ltd</x:v>
      </x:c>
      <x:c r="C67" s="26" t="str">
        <x:v>Communication Services</x:v>
      </x:c>
      <x:c r="D67" s="26" t="str">
        <x:v>Internet &amp; Platforms</x:v>
      </x:c>
      <x:c r="E67" s="27" t="n">
        <x:v>2024</x:v>
      </x:c>
      <x:c r="F67" s="28" t="n">
        <x:v>563824.44</x:v>
      </x:c>
      <x:c r="G67" s="29" t="n">
        <x:v>32.88</x:v>
      </x:c>
      <x:c r="H67" s="29" t="n">
        <x:v>8.33</x:v>
      </x:c>
      <x:c r="I67" s="29" t="n">
        <x:v>11.87</x:v>
      </x:c>
      <x:c r="J67" s="29" t="n">
        <x:v>36.89</x:v>
      </x:c>
      <x:c r="K67" s="29" t="n">
        <x:v>8.91</x:v>
      </x:c>
      <x:c r="L67" s="29" t="n">
        <x:v>29.69</x:v>
      </x:c>
      <x:c r="M67" s="29" t="n">
        <x:v>48.33</x:v>
      </x:c>
      <x:c r="N67" s="29" t="n">
        <x:v>7.305</x:v>
      </x:c>
      <x:c r="O67" s="29" t="n">
        <x:v>25.79</x:v>
      </x:c>
      <x:c r="P67" s="30" t="n">
        <x:v>4.29</x:v>
      </x:c>
      <x:c r="Q67" s="28" t="n">
        <x:v>-150</x:v>
      </x:c>
      <x:c r="R67" s="36" t="n">
        <x:f>IFERROR(Q67/F67*100,"")</x:f>
        <x:v>-0.026604025891463663</x:v>
      </x:c>
      <x:c r="S67" s="36" t="n">
        <x:f>IFERROR((G67/J67-1)*100,"")</x:f>
        <x:v>-10.870154513418262</x:v>
      </x:c>
      <x:c r="T67" s="36" t="n">
        <x:f>IFERROR((I67/O67-1)*100,"")</x:f>
        <x:v>-53.97440868553702</x:v>
      </x:c>
      <x:c r="U67" s="37" t="n">
        <x:f>COUNTIFS($C$2:$C$93,C67,$G$2:$G$93,"&lt;"&amp;G67)+1</x:f>
        <x:v>1</x:v>
      </x:c>
      <x:c r="V67" s="37" t="n">
        <x:f>RANK.EQ(P67,$P$2:$P$93,0)</x:f>
        <x:v>6</x:v>
      </x:c>
      <x:c r="W67" s="38" t="str">
        <x:f>IF(G67&gt;M67*1.5,"Caution",IF(G67&lt;M67*0.7,"Discount","Fair"))</x:f>
        <x:v>Discount</x:v>
      </x:c>
      <x:c r="X67" s="38" t="str">
        <x:f>IF(I67&gt;O67*1.2,"Above Sector","Normal")</x:f>
        <x:v>Normal</x:v>
      </x:c>
      <x:c r="Y67" s="38" t="str">
        <x:f>IF(W67="Caution","P/E is more than 50% above sector median",IF(W67="Discount","P/E is more than 30% below sector median","P/E is within the normal sector range"))</x:f>
        <x:v>P/E is more than 30% below sector median</x:v>
      </x:c>
    </x:row>
    <x:row r="68">
      <x:c r="A68" s="26" t="str">
        <x:v>NESTLEIND</x:v>
      </x:c>
      <x:c r="B68" s="26" t="str">
        <x:v>Nestle India Ltd</x:v>
      </x:c>
      <x:c r="C68" s="26" t="str">
        <x:v>Consumer Staples</x:v>
      </x:c>
      <x:c r="D68" s="26" t="str">
        <x:v>Food Products</x:v>
      </x:c>
      <x:c r="E68" s="27" t="n">
        <x:v>2024</x:v>
      </x:c>
      <x:c r="F68" s="28" t="n">
        <x:v>1677775.19</x:v>
      </x:c>
      <x:c r="G68" s="29" t="n">
        <x:v>54.96</x:v>
      </x:c>
      <x:c r="H68" s="29" t="n">
        <x:v>14.34</x:v>
      </x:c>
      <x:c r="I68" s="29" t="n">
        <x:v>15.49</x:v>
      </x:c>
      <x:c r="J68" s="29" t="n">
        <x:v>46.21</x:v>
      </x:c>
      <x:c r="K68" s="29" t="n">
        <x:v>9.96</x:v>
      </x:c>
      <x:c r="L68" s="29" t="n">
        <x:v>15.49</x:v>
      </x:c>
      <x:c r="M68" s="29" t="n">
        <x:v>50.95</x:v>
      </x:c>
      <x:c r="N68" s="29" t="n">
        <x:v>8.07</x:v>
      </x:c>
      <x:c r="O68" s="29" t="n">
        <x:v>17.19</x:v>
      </x:c>
      <x:c r="P68" s="30" t="n">
        <x:v>3.85</x:v>
      </x:c>
      <x:c r="Q68" s="28" t="n">
        <x:v>2938</x:v>
      </x:c>
      <x:c r="R68" s="36" t="n">
        <x:f>IFERROR(Q68/F68*100,"")</x:f>
        <x:v>0.17511285287273798</x:v>
      </x:c>
      <x:c r="S68" s="36" t="n">
        <x:f>IFERROR((G68/J68-1)*100,"")</x:f>
        <x:v>18.935295390608097</x:v>
      </x:c>
      <x:c r="T68" s="36" t="n">
        <x:f>IFERROR((I68/O68-1)*100,"")</x:f>
        <x:v>-9.88947062245492</x:v>
      </x:c>
      <x:c r="U68" s="37" t="n">
        <x:f>COUNTIFS($C$2:$C$93,C68,$G$2:$G$93,"&lt;"&amp;G68)+1</x:f>
        <x:v>6</x:v>
      </x:c>
      <x:c r="V68" s="37" t="n">
        <x:f>RANK.EQ(P68,$P$2:$P$93,0)</x:f>
        <x:v>15</x:v>
      </x:c>
      <x:c r="W68" s="38" t="str">
        <x:f>IF(G68&gt;M68*1.5,"Caution",IF(G68&lt;M68*0.7,"Discount","Fair"))</x:f>
        <x:v>Fair</x:v>
      </x:c>
      <x:c r="X68" s="38" t="str">
        <x:f>IF(I68&gt;O68*1.2,"Above Sector","Normal")</x:f>
        <x:v>Normal</x:v>
      </x:c>
      <x:c r="Y68" s="38" t="str">
        <x:f>IF(W68="Caution","P/E is more than 50% above sector median",IF(W68="Discount","P/E is more than 30% below sector median","P/E is within the normal sector range"))</x:f>
        <x:v>P/E is within the normal sector range</x:v>
      </x:c>
    </x:row>
    <x:row r="69">
      <x:c r="A69" s="26" t="str">
        <x:v>NHPC</x:v>
      </x:c>
      <x:c r="B69" s="26" t="str">
        <x:v>NHPC Ltd
</x:v>
      </x:c>
      <x:c r="C69" s="26" t="str">
        <x:v>Energy</x:v>
      </x:c>
      <x:c r="D69" s="26" t="str">
        <x:v>Power &amp; Utilities</x:v>
      </x:c>
      <x:c r="E69" s="27" t="n">
        <x:v>2024</x:v>
      </x:c>
      <x:c r="F69" s="28" t="n">
        <x:v>1740404.25</x:v>
      </x:c>
      <x:c r="G69" s="29" t="n">
        <x:v>71.17</x:v>
      </x:c>
      <x:c r="H69" s="29" t="n">
        <x:v>13.74</x:v>
      </x:c>
      <x:c r="I69" s="29" t="n">
        <x:v>18.26</x:v>
      </x:c>
      <x:c r="J69" s="29" t="n">
        <x:v>59.63</x:v>
      </x:c>
      <x:c r="K69" s="29" t="n">
        <x:v>13.06</x:v>
      </x:c>
      <x:c r="L69" s="29" t="n">
        <x:v>19.59</x:v>
      </x:c>
      <x:c r="M69" s="29" t="n">
        <x:v>44.915</x:v>
      </x:c>
      <x:c r="N69" s="29" t="n">
        <x:v>6</x:v>
      </x:c>
      <x:c r="O69" s="29" t="n">
        <x:v>24.86</x:v>
      </x:c>
      <x:c r="P69" s="30" t="n">
        <x:v>1.68</x:v>
      </x:c>
      <x:c r="Q69" s="28" t="n">
        <x:v>970</x:v>
      </x:c>
      <x:c r="R69" s="36" t="n">
        <x:f>IFERROR(Q69/F69*100,"")</x:f>
        <x:v>0.05573417784977254</x:v>
      </x:c>
      <x:c r="S69" s="36" t="n">
        <x:f>IFERROR((G69/J69-1)*100,"")</x:f>
        <x:v>19.352674828106654</x:v>
      </x:c>
      <x:c r="T69" s="36" t="n">
        <x:f>IFERROR((I69/O69-1)*100,"")</x:f>
        <x:v>-26.54867256637168</x:v>
      </x:c>
      <x:c r="U69" s="37" t="n">
        <x:f>COUNTIFS($C$2:$C$93,C69,$G$2:$G$93,"&lt;"&amp;G69)+1</x:f>
        <x:v>14</x:v>
      </x:c>
      <x:c r="V69" s="37" t="n">
        <x:f>RANK.EQ(P69,$P$2:$P$93,0)</x:f>
        <x:v>56</x:v>
      </x:c>
      <x:c r="W69" s="38" t="str">
        <x:f>IF(G69&gt;M69*1.5,"Caution",IF(G69&lt;M69*0.7,"Discount","Fair"))</x:f>
        <x:v>Caution</x:v>
      </x:c>
      <x:c r="X69" s="38" t="str">
        <x:f>IF(I69&gt;O69*1.2,"Above Sector","Normal")</x:f>
        <x:v>Normal</x:v>
      </x:c>
      <x:c r="Y69" s="38" t="str">
        <x:f>IF(W69="Caution","P/E is more than 50% above sector median",IF(W69="Discount","P/E is more than 30% below sector median","P/E is within the normal sector range"))</x:f>
        <x:v>P/E is more than 50% above sector median</x:v>
      </x:c>
    </x:row>
    <x:row r="70">
      <x:c r="A70" s="26" t="str">
        <x:v>NTPC</x:v>
      </x:c>
      <x:c r="B70" s="26" t="str">
        <x:v>NTPC Ltd</x:v>
      </x:c>
      <x:c r="C70" s="26" t="str">
        <x:v>Energy</x:v>
      </x:c>
      <x:c r="D70" s="26" t="str">
        <x:v>Power &amp; Utilities</x:v>
      </x:c>
      <x:c r="E70" s="27" t="n">
        <x:v>2024</x:v>
      </x:c>
      <x:c r="F70" s="28" t="n">
        <x:v>907823.11</x:v>
      </x:c>
      <x:c r="G70" s="29" t="n">
        <x:v>30.8</x:v>
      </x:c>
      <x:c r="H70" s="29" t="n">
        <x:v>5.24</x:v>
      </x:c>
      <x:c r="I70" s="29" t="n">
        <x:v>37.12</x:v>
      </x:c>
      <x:c r="J70" s="29" t="n">
        <x:v>54.44</x:v>
      </x:c>
      <x:c r="K70" s="29" t="n">
        <x:v>7.06</x:v>
      </x:c>
      <x:c r="L70" s="29" t="n">
        <x:v>18.09</x:v>
      </x:c>
      <x:c r="M70" s="29" t="n">
        <x:v>44.915</x:v>
      </x:c>
      <x:c r="N70" s="29" t="n">
        <x:v>6</x:v>
      </x:c>
      <x:c r="O70" s="29" t="n">
        <x:v>24.86</x:v>
      </x:c>
      <x:c r="P70" s="30" t="n">
        <x:v>0.06</x:v>
      </x:c>
      <x:c r="Q70" s="28" t="n">
        <x:v>8644</x:v>
      </x:c>
      <x:c r="R70" s="36" t="n">
        <x:f>IFERROR(Q70/F70*100,"")</x:f>
        <x:v>0.9521678733206076</x:v>
      </x:c>
      <x:c r="S70" s="36" t="n">
        <x:f>IFERROR((G70/J70-1)*100,"")</x:f>
        <x:v>-43.423952975753124</x:v>
      </x:c>
      <x:c r="T70" s="36" t="n">
        <x:f>IFERROR((I70/O70-1)*100,"")</x:f>
        <x:v>49.3161705551086</x:v>
      </x:c>
      <x:c r="U70" s="37" t="n">
        <x:f>COUNTIFS($C$2:$C$93,C70,$G$2:$G$93,"&lt;"&amp;G70)+1</x:f>
        <x:v>6</x:v>
      </x:c>
      <x:c r="V70" s="37" t="n">
        <x:f>RANK.EQ(P70,$P$2:$P$93,0)</x:f>
        <x:v>92</x:v>
      </x:c>
      <x:c r="W70" s="38" t="str">
        <x:f>IF(G70&gt;M70*1.5,"Caution",IF(G70&lt;M70*0.7,"Discount","Fair"))</x:f>
        <x:v>Discount</x:v>
      </x:c>
      <x:c r="X70" s="38" t="str">
        <x:f>IF(I70&gt;O70*1.2,"Above Sector","Normal")</x:f>
        <x:v>Above Sector</x:v>
      </x:c>
      <x:c r="Y70" s="38" t="str">
        <x:f>IF(W70="Caution","P/E is more than 50% above sector median",IF(W70="Discount","P/E is more than 30% below sector median","P/E is within the normal sector range"))</x:f>
        <x:v>P/E is more than 30% below sector median</x:v>
      </x:c>
    </x:row>
    <x:row r="71">
      <x:c r="A71" s="26" t="str">
        <x:v>ONGC</x:v>
      </x:c>
      <x:c r="B71" s="26" t="str">
        <x:v>Oil &amp; Natural Gas Corpn Ltd</x:v>
      </x:c>
      <x:c r="C71" s="26" t="str">
        <x:v>Energy</x:v>
      </x:c>
      <x:c r="D71" s="26" t="str">
        <x:v>Oil &amp; Gas Exploration</x:v>
      </x:c>
      <x:c r="E71" s="27" t="n">
        <x:v>2024</x:v>
      </x:c>
      <x:c r="F71" s="28" t="n">
        <x:v>390111.05</x:v>
      </x:c>
      <x:c r="G71" s="29" t="n">
        <x:v>18.15</x:v>
      </x:c>
      <x:c r="H71" s="29" t="n">
        <x:v>10.36</x:v>
      </x:c>
      <x:c r="I71" s="29" t="n">
        <x:v>11.72</x:v>
      </x:c>
      <x:c r="J71" s="29" t="n">
        <x:v>43.8</x:v>
      </x:c>
      <x:c r="K71" s="29" t="n">
        <x:v>7</x:v>
      </x:c>
      <x:c r="L71" s="29" t="n">
        <x:v>11.72</x:v>
      </x:c>
      <x:c r="M71" s="29" t="n">
        <x:v>44.915</x:v>
      </x:c>
      <x:c r="N71" s="29" t="n">
        <x:v>6</x:v>
      </x:c>
      <x:c r="O71" s="29" t="n">
        <x:v>24.86</x:v>
      </x:c>
      <x:c r="P71" s="30" t="n">
        <x:v>1.11</x:v>
      </x:c>
      <x:c r="Q71" s="28" t="n">
        <x:v>42060</x:v>
      </x:c>
      <x:c r="R71" s="36" t="n">
        <x:f>IFERROR(Q71/F71*100,"")</x:f>
        <x:v>10.781545408672736</x:v>
      </x:c>
      <x:c r="S71" s="36" t="n">
        <x:f>IFERROR((G71/J71-1)*100,"")</x:f>
        <x:v>-58.56164383561644</x:v>
      </x:c>
      <x:c r="T71" s="36" t="n">
        <x:f>IFERROR((I71/O71-1)*100,"")</x:f>
        <x:v>-52.85599356395816</x:v>
      </x:c>
      <x:c r="U71" s="37" t="n">
        <x:f>COUNTIFS($C$2:$C$93,C71,$G$2:$G$93,"&lt;"&amp;G71)+1</x:f>
        <x:v>2</x:v>
      </x:c>
      <x:c r="V71" s="37" t="n">
        <x:f>RANK.EQ(P71,$P$2:$P$93,0)</x:f>
        <x:v>71</x:v>
      </x:c>
      <x:c r="W71" s="38" t="str">
        <x:f>IF(G71&gt;M71*1.5,"Caution",IF(G71&lt;M71*0.7,"Discount","Fair"))</x:f>
        <x:v>Discount</x:v>
      </x:c>
      <x:c r="X71" s="38" t="str">
        <x:f>IF(I71&gt;O71*1.2,"Above Sector","Normal")</x:f>
        <x:v>Normal</x:v>
      </x:c>
      <x:c r="Y71" s="38" t="str">
        <x:f>IF(W71="Caution","P/E is more than 50% above sector median",IF(W71="Discount","P/E is more than 30% below sector median","P/E is within the normal sector range"))</x:f>
        <x:v>P/E is more than 30% below sector median</x:v>
      </x:c>
    </x:row>
    <x:row r="72">
      <x:c r="A72" s="26" t="str">
        <x:v>PFC</x:v>
      </x:c>
      <x:c r="B72" s="26" t="str">
        <x:v>Power Finance Corporation Ltd</x:v>
      </x:c>
      <x:c r="C72" s="26" t="str">
        <x:v>Financials</x:v>
      </x:c>
      <x:c r="D72" s="26" t="str">
        <x:v>Speciality Finance</x:v>
      </x:c>
      <x:c r="E72" s="27" t="n">
        <x:v>2024</x:v>
      </x:c>
      <x:c r="F72" s="28" t="n">
        <x:v>2011885.81</x:v>
      </x:c>
      <x:c r="G72" s="29" t="n">
        <x:v>35.6</x:v>
      </x:c>
      <x:c r="H72" s="29" t="n">
        <x:v>6.59</x:v>
      </x:c>
      <x:c r="I72" s="29" t="n">
        <x:v>15.67</x:v>
      </x:c>
      <x:c r="J72" s="29" t="n">
        <x:v>35.6</x:v>
      </x:c>
      <x:c r="K72" s="29" t="n">
        <x:v>5.31</x:v>
      </x:c>
      <x:c r="L72" s="29" t="n">
        <x:v>34.04</x:v>
      </x:c>
      <x:c r="M72" s="29" t="n">
        <x:v>34.24</x:v>
      </x:c>
      <x:c r="N72" s="29" t="n">
        <x:v>6.59</x:v>
      </x:c>
      <x:c r="O72" s="29" t="n">
        <x:v>23.95</x:v>
      </x:c>
      <x:c r="P72" s="30" t="n">
        <x:v>0.42</x:v>
      </x:c>
      <x:c r="Q72" s="28" t="n">
        <x:v>-101229</x:v>
      </x:c>
      <x:c r="R72" s="36" t="n">
        <x:f>IFERROR(Q72/F72*100,"")</x:f>
        <x:v>-5.031547988302576</x:v>
      </x:c>
      <x:c r="S72" s="36" t="n">
        <x:f>IFERROR((G72/J72-1)*100,"")</x:f>
        <x:v>0</x:v>
      </x:c>
      <x:c r="T72" s="36" t="n">
        <x:f>IFERROR((I72/O72-1)*100,"")</x:f>
        <x:v>-34.57202505219207</x:v>
      </x:c>
      <x:c r="U72" s="37" t="n">
        <x:f>COUNTIFS($C$2:$C$93,C72,$G$2:$G$93,"&lt;"&amp;G72)+1</x:f>
        <x:v>13</x:v>
      </x:c>
      <x:c r="V72" s="37" t="n">
        <x:f>RANK.EQ(P72,$P$2:$P$93,0)</x:f>
        <x:v>85</x:v>
      </x:c>
      <x:c r="W72" s="38" t="str">
        <x:f>IF(G72&gt;M72*1.5,"Caution",IF(G72&lt;M72*0.7,"Discount","Fair"))</x:f>
        <x:v>Fair</x:v>
      </x:c>
      <x:c r="X72" s="38" t="str">
        <x:f>IF(I72&gt;O72*1.2,"Above Sector","Normal")</x:f>
        <x:v>Normal</x:v>
      </x:c>
      <x:c r="Y72" s="38" t="str">
        <x:f>IF(W72="Caution","P/E is more than 50% above sector median",IF(W72="Discount","P/E is more than 30% below sector median","P/E is within the normal sector range"))</x:f>
        <x:v>P/E is within the normal sector range</x:v>
      </x:c>
    </x:row>
    <x:row r="73">
      <x:c r="A73" s="26" t="str">
        <x:v>PIDILITIND</x:v>
      </x:c>
      <x:c r="B73" s="26" t="str">
        <x:v>Pidilite Industries Ltd</x:v>
      </x:c>
      <x:c r="C73" s="26" t="str">
        <x:v>Materials</x:v>
      </x:c>
      <x:c r="D73" s="26" t="str">
        <x:v>Specialty Chemicals</x:v>
      </x:c>
      <x:c r="E73" s="27" t="n">
        <x:v>2024</x:v>
      </x:c>
      <x:c r="F73" s="28" t="n">
        <x:v>162274.18</x:v>
      </x:c>
      <x:c r="G73" s="29" t="n">
        <x:v>36.12</x:v>
      </x:c>
      <x:c r="H73" s="29" t="n">
        <x:v>12.3</x:v>
      </x:c>
      <x:c r="I73" s="29" t="n">
        <x:v>5.36</x:v>
      </x:c>
      <x:c r="J73" s="29" t="n">
        <x:v>38.11</x:v>
      </x:c>
      <x:c r="K73" s="29" t="n">
        <x:v>3.26</x:v>
      </x:c>
      <x:c r="L73" s="29" t="n">
        <x:v>24.87</x:v>
      </x:c>
      <x:c r="M73" s="29" t="n">
        <x:v>55.62</x:v>
      </x:c>
      <x:c r="N73" s="29" t="n">
        <x:v>9.21</x:v>
      </x:c>
      <x:c r="O73" s="29" t="n">
        <x:v>26.58</x:v>
      </x:c>
      <x:c r="P73" s="30" t="n">
        <x:v>1.01</x:v>
      </x:c>
      <x:c r="Q73" s="28" t="n">
        <x:v>955</x:v>
      </x:c>
      <x:c r="R73" s="36" t="n">
        <x:f>IFERROR(Q73/F73*100,"")</x:f>
        <x:v>0.588510137595519</x:v>
      </x:c>
      <x:c r="S73" s="36" t="n">
        <x:f>IFERROR((G73/J73-1)*100,"")</x:f>
        <x:v>-5.221726580949893</x:v>
      </x:c>
      <x:c r="T73" s="36" t="n">
        <x:f>IFERROR((I73/O73-1)*100,"")</x:f>
        <x:v>-79.83446200150489</x:v>
      </x:c>
      <x:c r="U73" s="37" t="n">
        <x:f>COUNTIFS($C$2:$C$93,C73,$G$2:$G$93,"&lt;"&amp;G73)+1</x:f>
        <x:v>3</x:v>
      </x:c>
      <x:c r="V73" s="37" t="n">
        <x:f>RANK.EQ(P73,$P$2:$P$93,0)</x:f>
        <x:v>74</x:v>
      </x:c>
      <x:c r="W73" s="38" t="str">
        <x:f>IF(G73&gt;M73*1.5,"Caution",IF(G73&lt;M73*0.7,"Discount","Fair"))</x:f>
        <x:v>Discount</x:v>
      </x:c>
      <x:c r="X73" s="38" t="str">
        <x:f>IF(I73&gt;O73*1.2,"Above Sector","Normal")</x:f>
        <x:v>Normal</x:v>
      </x:c>
      <x:c r="Y73" s="38" t="str">
        <x:f>IF(W73="Caution","P/E is more than 50% above sector median",IF(W73="Discount","P/E is more than 30% below sector median","P/E is within the normal sector range"))</x:f>
        <x:v>P/E is more than 30% below sector median</x:v>
      </x:c>
    </x:row>
    <x:row r="74">
      <x:c r="A74" s="26" t="str">
        <x:v>PNB</x:v>
      </x:c>
      <x:c r="B74" s="26" t="str">
        <x:v>Punjab National Bank</x:v>
      </x:c>
      <x:c r="C74" s="26" t="str">
        <x:v>Financials</x:v>
      </x:c>
      <x:c r="D74" s="26" t="str">
        <x:v>Public Sector Banks</x:v>
      </x:c>
      <x:c r="E74" s="27" t="n">
        <x:v>2024</x:v>
      </x:c>
      <x:c r="F74" s="28" t="n">
        <x:v>1825925.6</x:v>
      </x:c>
      <x:c r="G74" s="29" t="n">
        <x:v>19.29</x:v>
      </x:c>
      <x:c r="H74" s="29" t="n">
        <x:v>10.91</x:v>
      </x:c>
      <x:c r="I74" s="29" t="n">
        <x:v>23.64</x:v>
      </x:c>
      <x:c r="J74" s="29" t="n">
        <x:v>20.42</x:v>
      </x:c>
      <x:c r="K74" s="29" t="n">
        <x:v>9.61</x:v>
      </x:c>
      <x:c r="L74" s="29" t="n">
        <x:v>21.68</x:v>
      </x:c>
      <x:c r="M74" s="29" t="n">
        <x:v>34.24</x:v>
      </x:c>
      <x:c r="N74" s="29" t="n">
        <x:v>6.59</x:v>
      </x:c>
      <x:c r="O74" s="29" t="n">
        <x:v>23.95</x:v>
      </x:c>
      <x:c r="P74" s="30" t="n">
        <x:v>1.32</x:v>
      </x:c>
      <x:c r="Q74" s="28" t="n">
        <x:v>-29445</x:v>
      </x:c>
      <x:c r="R74" s="36" t="n">
        <x:f>IFERROR(Q74/F74*100,"")</x:f>
        <x:v>-1.6126067787208855</x:v>
      </x:c>
      <x:c r="S74" s="36" t="n">
        <x:f>IFERROR((G74/J74-1)*100,"")</x:f>
        <x:v>-5.533790401567106</x:v>
      </x:c>
      <x:c r="T74" s="36" t="n">
        <x:f>IFERROR((I74/O74-1)*100,"")</x:f>
        <x:v>-1.2943632567849583</x:v>
      </x:c>
      <x:c r="U74" s="37" t="n">
        <x:f>COUNTIFS($C$2:$C$93,C74,$G$2:$G$93,"&lt;"&amp;G74)+1</x:f>
        <x:v>6</x:v>
      </x:c>
      <x:c r="V74" s="37" t="n">
        <x:f>RANK.EQ(P74,$P$2:$P$93,0)</x:f>
        <x:v>64</x:v>
      </x:c>
      <x:c r="W74" s="38" t="str">
        <x:f>IF(G74&gt;M74*1.5,"Caution",IF(G74&lt;M74*0.7,"Discount","Fair"))</x:f>
        <x:v>Discount</x:v>
      </x:c>
      <x:c r="X74" s="38" t="str">
        <x:f>IF(I74&gt;O74*1.2,"Above Sector","Normal")</x:f>
        <x:v>Normal</x:v>
      </x:c>
      <x:c r="Y74" s="38" t="str">
        <x:f>IF(W74="Caution","P/E is more than 50% above sector median",IF(W74="Discount","P/E is more than 30% below sector median","P/E is within the normal sector range"))</x:f>
        <x:v>P/E is more than 30% below sector median</x:v>
      </x:c>
    </x:row>
    <x:row r="75">
      <x:c r="A75" s="26" t="str">
        <x:v>POWERGRID</x:v>
      </x:c>
      <x:c r="B75" s="26" t="str">
        <x:v>Power Grid Corporation of India Ltd</x:v>
      </x:c>
      <x:c r="C75" s="26" t="str">
        <x:v>Energy</x:v>
      </x:c>
      <x:c r="D75" s="26" t="str">
        <x:v>Power Transmission</x:v>
      </x:c>
      <x:c r="E75" s="27" t="n">
        <x:v>2024</x:v>
      </x:c>
      <x:c r="F75" s="28" t="n">
        <x:v>372584.24</x:v>
      </x:c>
      <x:c r="G75" s="29" t="n">
        <x:v>64.39</x:v>
      </x:c>
      <x:c r="H75" s="29" t="n">
        <x:v>5.1</x:v>
      </x:c>
      <x:c r="I75" s="29" t="n">
        <x:v>23.07</x:v>
      </x:c>
      <x:c r="J75" s="29" t="n">
        <x:v>37.33</x:v>
      </x:c>
      <x:c r="K75" s="29" t="n">
        <x:v>5.79</x:v>
      </x:c>
      <x:c r="L75" s="29" t="n">
        <x:v>23.07</x:v>
      </x:c>
      <x:c r="M75" s="29" t="n">
        <x:v>44.915</x:v>
      </x:c>
      <x:c r="N75" s="29" t="n">
        <x:v>6</x:v>
      </x:c>
      <x:c r="O75" s="29" t="n">
        <x:v>24.86</x:v>
      </x:c>
      <x:c r="P75" s="30" t="n">
        <x:v>3.09</x:v>
      </x:c>
      <x:c r="Q75" s="28" t="n">
        <x:v>24176</x:v>
      </x:c>
      <x:c r="R75" s="36" t="n">
        <x:f>IFERROR(Q75/F75*100,"")</x:f>
        <x:v>6.488733930345523</x:v>
      </x:c>
      <x:c r="S75" s="36" t="n">
        <x:f>IFERROR((G75/J75-1)*100,"")</x:f>
        <x:v>72.48861505491561</x:v>
      </x:c>
      <x:c r="T75" s="36" t="n">
        <x:f>IFERROR((I75/O75-1)*100,"")</x:f>
        <x:v>-7.200321802091714</x:v>
      </x:c>
      <x:c r="U75" s="37" t="n">
        <x:f>COUNTIFS($C$2:$C$93,C75,$G$2:$G$93,"&lt;"&amp;G75)+1</x:f>
        <x:v>12</x:v>
      </x:c>
      <x:c r="V75" s="37" t="n">
        <x:f>RANK.EQ(P75,$P$2:$P$93,0)</x:f>
        <x:v>31</x:v>
      </x:c>
      <x:c r="W75" s="38" t="str">
        <x:f>IF(G75&gt;M75*1.5,"Caution",IF(G75&lt;M75*0.7,"Discount","Fair"))</x:f>
        <x:v>Fair</x:v>
      </x:c>
      <x:c r="X75" s="38" t="str">
        <x:f>IF(I75&gt;O75*1.2,"Above Sector","Normal")</x:f>
        <x:v>Normal</x:v>
      </x:c>
      <x:c r="Y75" s="38" t="str">
        <x:f>IF(W75="Caution","P/E is more than 50% above sector median",IF(W75="Discount","P/E is more than 30% below sector median","P/E is within the normal sector range"))</x:f>
        <x:v>P/E is within the normal sector range</x:v>
      </x:c>
    </x:row>
    <x:row r="76">
      <x:c r="A76" s="26" t="str">
        <x:v>RECLTD</x:v>
      </x:c>
      <x:c r="B76" s="26" t="str">
        <x:v>REC Ltd</x:v>
      </x:c>
      <x:c r="C76" s="26" t="str">
        <x:v>Financials</x:v>
      </x:c>
      <x:c r="D76" s="26" t="str">
        <x:v>Speciality Finance</x:v>
      </x:c>
      <x:c r="E76" s="27" t="n">
        <x:v>2024</x:v>
      </x:c>
      <x:c r="F76" s="28" t="n">
        <x:v>291917.42</x:v>
      </x:c>
      <x:c r="G76" s="29" t="n">
        <x:v>31.49</x:v>
      </x:c>
      <x:c r="H76" s="29" t="n">
        <x:v>4.59</x:v>
      </x:c>
      <x:c r="I76" s="29" t="n">
        <x:v>23.95</x:v>
      </x:c>
      <x:c r="J76" s="29" t="n">
        <x:v>31.49</x:v>
      </x:c>
      <x:c r="K76" s="29" t="n">
        <x:v>4.55</x:v>
      </x:c>
      <x:c r="L76" s="29" t="n">
        <x:v>29.01</x:v>
      </x:c>
      <x:c r="M76" s="29" t="n">
        <x:v>34.24</x:v>
      </x:c>
      <x:c r="N76" s="29" t="n">
        <x:v>6.59</x:v>
      </x:c>
      <x:c r="O76" s="29" t="n">
        <x:v>23.95</x:v>
      </x:c>
      <x:c r="P76" s="30" t="n">
        <x:v>2.18</x:v>
      </x:c>
      <x:c r="Q76" s="28" t="n">
        <x:v>-59554</x:v>
      </x:c>
      <x:c r="R76" s="36" t="n">
        <x:f>IFERROR(Q76/F76*100,"")</x:f>
        <x:v>-20.40097504287343</x:v>
      </x:c>
      <x:c r="S76" s="36" t="n">
        <x:f>IFERROR((G76/J76-1)*100,"")</x:f>
        <x:v>0</x:v>
      </x:c>
      <x:c r="T76" s="36" t="n">
        <x:f>IFERROR((I76/O76-1)*100,"")</x:f>
        <x:v>0</x:v>
      </x:c>
      <x:c r="U76" s="37" t="n">
        <x:f>COUNTIFS($C$2:$C$93,C76,$G$2:$G$93,"&lt;"&amp;G76)+1</x:f>
        <x:v>10</x:v>
      </x:c>
      <x:c r="V76" s="37" t="n">
        <x:f>RANK.EQ(P76,$P$2:$P$93,0)</x:f>
        <x:v>46</x:v>
      </x:c>
      <x:c r="W76" s="38" t="str">
        <x:f>IF(G76&gt;M76*1.5,"Caution",IF(G76&lt;M76*0.7,"Discount","Fair"))</x:f>
        <x:v>Fair</x:v>
      </x:c>
      <x:c r="X76" s="38" t="str">
        <x:f>IF(I76&gt;O76*1.2,"Above Sector","Normal")</x:f>
        <x:v>Normal</x:v>
      </x:c>
      <x:c r="Y76" s="38" t="str">
        <x:f>IF(W76="Caution","P/E is more than 50% above sector median",IF(W76="Discount","P/E is more than 30% below sector median","P/E is within the normal sector range"))</x:f>
        <x:v>P/E is within the normal sector range</x:v>
      </x:c>
    </x:row>
    <x:row r="77">
      <x:c r="A77" s="26" t="str">
        <x:v>RELIANCE</x:v>
      </x:c>
      <x:c r="B77" s="26" t="str">
        <x:v>Reliance Industries Ltd
</x:v>
      </x:c>
      <x:c r="C77" s="26" t="str">
        <x:v>Energy</x:v>
      </x:c>
      <x:c r="D77" s="26" t="str">
        <x:v>Conglomerates</x:v>
      </x:c>
      <x:c r="E77" s="27" t="n">
        <x:v>2024</x:v>
      </x:c>
      <x:c r="F77" s="28" t="n">
        <x:v>432472.71</x:v>
      </x:c>
      <x:c r="G77" s="29" t="n">
        <x:v>58.34</x:v>
      </x:c>
      <x:c r="H77" s="29" t="n">
        <x:v>3.25</x:v>
      </x:c>
      <x:c r="I77" s="29" t="n">
        <x:v>24.96</x:v>
      </x:c>
      <x:c r="J77" s="29" t="n">
        <x:v>58.34</x:v>
      </x:c>
      <x:c r="K77" s="29" t="n">
        <x:v>7.47</x:v>
      </x:c>
      <x:c r="L77" s="29" t="n">
        <x:v>27.55</x:v>
      </x:c>
      <x:c r="M77" s="29" t="n">
        <x:v>44.915</x:v>
      </x:c>
      <x:c r="N77" s="29" t="n">
        <x:v>6</x:v>
      </x:c>
      <x:c r="O77" s="29" t="n">
        <x:v>24.86</x:v>
      </x:c>
      <x:c r="P77" s="30" t="n">
        <x:v>4.21</x:v>
      </x:c>
      <x:c r="Q77" s="28" t="n">
        <x:v>45207</x:v>
      </x:c>
      <x:c r="R77" s="36" t="n">
        <x:f>IFERROR(Q77/F77*100,"")</x:f>
        <x:v>10.453145124463461</x:v>
      </x:c>
      <x:c r="S77" s="36" t="n">
        <x:f>IFERROR((G77/J77-1)*100,"")</x:f>
        <x:v>0</x:v>
      </x:c>
      <x:c r="T77" s="36" t="n">
        <x:f>IFERROR((I77/O77-1)*100,"")</x:f>
        <x:v>0.4022526146419958</x:v>
      </x:c>
      <x:c r="U77" s="37" t="n">
        <x:f>COUNTIFS($C$2:$C$93,C77,$G$2:$G$93,"&lt;"&amp;G77)+1</x:f>
        <x:v>10</x:v>
      </x:c>
      <x:c r="V77" s="37" t="n">
        <x:f>RANK.EQ(P77,$P$2:$P$93,0)</x:f>
        <x:v>10</x:v>
      </x:c>
      <x:c r="W77" s="38" t="str">
        <x:f>IF(G77&gt;M77*1.5,"Caution",IF(G77&lt;M77*0.7,"Discount","Fair"))</x:f>
        <x:v>Fair</x:v>
      </x:c>
      <x:c r="X77" s="38" t="str">
        <x:f>IF(I77&gt;O77*1.2,"Above Sector","Normal")</x:f>
        <x:v>Normal</x:v>
      </x:c>
      <x:c r="Y77" s="38" t="str">
        <x:f>IF(W77="Caution","P/E is more than 50% above sector median",IF(W77="Discount","P/E is more than 30% below sector median","P/E is within the normal sector range"))</x:f>
        <x:v>P/E is within the normal sector range</x:v>
      </x:c>
    </x:row>
    <x:row r="78">
      <x:c r="A78" s="26" t="str">
        <x:v>SBILIFE</x:v>
      </x:c>
      <x:c r="B78" s="26" t="str">
        <x:v>SBI Life Insurance Company Ltd</x:v>
      </x:c>
      <x:c r="C78" s="26" t="str">
        <x:v>Financials</x:v>
      </x:c>
      <x:c r="D78" s="26" t="str">
        <x:v>Life Insurance</x:v>
      </x:c>
      <x:c r="E78" s="27" t="n">
        <x:v>2024</x:v>
      </x:c>
      <x:c r="F78" s="28" t="n">
        <x:v>886097.71</x:v>
      </x:c>
      <x:c r="G78" s="29" t="n">
        <x:v>69.98</x:v>
      </x:c>
      <x:c r="H78" s="29" t="n">
        <x:v>9.48</x:v>
      </x:c>
      <x:c r="I78" s="29" t="n">
        <x:v>31.04</x:v>
      </x:c>
      <x:c r="J78" s="29" t="n">
        <x:v>60.68</x:v>
      </x:c>
      <x:c r="K78" s="29" t="n">
        <x:v>6.98</x:v>
      </x:c>
      <x:c r="L78" s="29" t="n">
        <x:v>20.65</x:v>
      </x:c>
      <x:c r="M78" s="29" t="n">
        <x:v>34.24</x:v>
      </x:c>
      <x:c r="N78" s="29" t="n">
        <x:v>6.59</x:v>
      </x:c>
      <x:c r="O78" s="29" t="n">
        <x:v>23.95</x:v>
      </x:c>
      <x:c r="P78" s="30" t="n">
        <x:v>1.62</x:v>
      </x:c>
      <x:c r="Q78" s="28" t="n">
        <x:v>-2099</x:v>
      </x:c>
      <x:c r="R78" s="36" t="n">
        <x:f>IFERROR(Q78/F78*100,"")</x:f>
        <x:v>-0.23688132542403253</x:v>
      </x:c>
      <x:c r="S78" s="36" t="n">
        <x:f>IFERROR((G78/J78-1)*100,"")</x:f>
        <x:v>15.326301911667773</x:v>
      </x:c>
      <x:c r="T78" s="36" t="n">
        <x:f>IFERROR((I78/O78-1)*100,"")</x:f>
        <x:v>29.603340292275583</x:v>
      </x:c>
      <x:c r="U78" s="37" t="n">
        <x:f>COUNTIFS($C$2:$C$93,C78,$G$2:$G$93,"&lt;"&amp;G78)+1</x:f>
        <x:v>23</x:v>
      </x:c>
      <x:c r="V78" s="37" t="n">
        <x:f>RANK.EQ(P78,$P$2:$P$93,0)</x:f>
        <x:v>59</x:v>
      </x:c>
      <x:c r="W78" s="38" t="str">
        <x:f>IF(G78&gt;M78*1.5,"Caution",IF(G78&lt;M78*0.7,"Discount","Fair"))</x:f>
        <x:v>Caution</x:v>
      </x:c>
      <x:c r="X78" s="38" t="str">
        <x:f>IF(I78&gt;O78*1.2,"Above Sector","Normal")</x:f>
        <x:v>Above Sector</x:v>
      </x:c>
      <x:c r="Y78" s="38" t="str">
        <x:f>IF(W78="Caution","P/E is more than 50% above sector median",IF(W78="Discount","P/E is more than 30% below sector median","P/E is within the normal sector range"))</x:f>
        <x:v>P/E is more than 50% above sector median</x:v>
      </x:c>
    </x:row>
    <x:row r="79">
      <x:c r="A79" s="26" t="str">
        <x:v>SBIN</x:v>
      </x:c>
      <x:c r="B79" s="26" t="str">
        <x:v>State Bank of India</x:v>
      </x:c>
      <x:c r="C79" s="26" t="str">
        <x:v>Financials</x:v>
      </x:c>
      <x:c r="D79" s="26" t="str">
        <x:v>Public Sector Banks</x:v>
      </x:c>
      <x:c r="E79" s="27" t="n">
        <x:v>2024</x:v>
      </x:c>
      <x:c r="F79" s="28" t="n">
        <x:v>2400436.05</x:v>
      </x:c>
      <x:c r="G79" s="29" t="n">
        <x:v>54.93</x:v>
      </x:c>
      <x:c r="H79" s="29" t="n">
        <x:v>2.72</x:v>
      </x:c>
      <x:c r="I79" s="29" t="n">
        <x:v>21.53</x:v>
      </x:c>
      <x:c r="J79" s="29" t="n">
        <x:v>54.93</x:v>
      </x:c>
      <x:c r="K79" s="29" t="n">
        <x:v>7.09</x:v>
      </x:c>
      <x:c r="L79" s="29" t="n">
        <x:v>27.95</x:v>
      </x:c>
      <x:c r="M79" s="29" t="n">
        <x:v>34.24</x:v>
      </x:c>
      <x:c r="N79" s="29" t="n">
        <x:v>6.59</x:v>
      </x:c>
      <x:c r="O79" s="29" t="n">
        <x:v>23.95</x:v>
      </x:c>
      <x:c r="P79" s="30" t="n">
        <x:v>0.42</x:v>
      </x:c>
      <x:c r="Q79" s="28" t="n">
        <x:v>18156</x:v>
      </x:c>
      <x:c r="R79" s="36" t="n">
        <x:f>IFERROR(Q79/F79*100,"")</x:f>
        <x:v>0.7563625783740417</x:v>
      </x:c>
      <x:c r="S79" s="36" t="n">
        <x:f>IFERROR((G79/J79-1)*100,"")</x:f>
        <x:v>0</x:v>
      </x:c>
      <x:c r="T79" s="36" t="n">
        <x:f>IFERROR((I79/O79-1)*100,"")</x:f>
        <x:v>-10.104384133611688</x:v>
      </x:c>
      <x:c r="U79" s="37" t="n">
        <x:f>COUNTIFS($C$2:$C$93,C79,$G$2:$G$93,"&lt;"&amp;G79)+1</x:f>
        <x:v>20</x:v>
      </x:c>
      <x:c r="V79" s="37" t="n">
        <x:f>RANK.EQ(P79,$P$2:$P$93,0)</x:f>
        <x:v>85</x:v>
      </x:c>
      <x:c r="W79" s="38" t="str">
        <x:f>IF(G79&gt;M79*1.5,"Caution",IF(G79&lt;M79*0.7,"Discount","Fair"))</x:f>
        <x:v>Caution</x:v>
      </x:c>
      <x:c r="X79" s="38" t="str">
        <x:f>IF(I79&gt;O79*1.2,"Above Sector","Normal")</x:f>
        <x:v>Normal</x:v>
      </x:c>
      <x:c r="Y79" s="38" t="str">
        <x:f>IF(W79="Caution","P/E is more than 50% above sector median",IF(W79="Discount","P/E is more than 30% below sector median","P/E is within the normal sector range"))</x:f>
        <x:v>P/E is more than 50% above sector median</x:v>
      </x:c>
    </x:row>
    <x:row r="80">
      <x:c r="A80" s="26" t="str">
        <x:v>SHREECEM</x:v>
      </x:c>
      <x:c r="B80" s="26" t="str">
        <x:v>Shree Cement Ltd</x:v>
      </x:c>
      <x:c r="C80" s="26" t="str">
        <x:v>Materials</x:v>
      </x:c>
      <x:c r="D80" s="26" t="str">
        <x:v>Cement</x:v>
      </x:c>
      <x:c r="E80" s="27" t="n">
        <x:v>2024</x:v>
      </x:c>
      <x:c r="F80" s="28" t="n">
        <x:v>3154358.33</x:v>
      </x:c>
      <x:c r="G80" s="29" t="n">
        <x:v>25.87</x:v>
      </x:c>
      <x:c r="H80" s="29" t="n">
        <x:v>1.21</x:v>
      </x:c>
      <x:c r="I80" s="29" t="n">
        <x:v>26.58</x:v>
      </x:c>
      <x:c r="J80" s="29" t="n">
        <x:v>32.7</x:v>
      </x:c>
      <x:c r="K80" s="29" t="n">
        <x:v>6.72</x:v>
      </x:c>
      <x:c r="L80" s="29" t="n">
        <x:v>24.53</x:v>
      </x:c>
      <x:c r="M80" s="29" t="n">
        <x:v>55.62</x:v>
      </x:c>
      <x:c r="N80" s="29" t="n">
        <x:v>9.21</x:v>
      </x:c>
      <x:c r="O80" s="29" t="n">
        <x:v>26.58</x:v>
      </x:c>
      <x:c r="P80" s="30" t="n">
        <x:v>3.2</x:v>
      </x:c>
      <x:c r="Q80" s="28" t="n">
        <x:v>1929</x:v>
      </x:c>
      <x:c r="R80" s="36" t="n">
        <x:f>IFERROR(Q80/F80*100,"")</x:f>
        <x:v>0.06115348347250073</x:v>
      </x:c>
      <x:c r="S80" s="36" t="n">
        <x:f>IFERROR((G80/J80-1)*100,"")</x:f>
        <x:v>-20.8868501529052</x:v>
      </x:c>
      <x:c r="T80" s="36" t="n">
        <x:f>IFERROR((I80/O80-1)*100,"")</x:f>
        <x:v>0</x:v>
      </x:c>
      <x:c r="U80" s="37" t="n">
        <x:f>COUNTIFS($C$2:$C$93,C80,$G$2:$G$93,"&lt;"&amp;G80)+1</x:f>
        <x:v>1</x:v>
      </x:c>
      <x:c r="V80" s="37" t="n">
        <x:f>RANK.EQ(P80,$P$2:$P$93,0)</x:f>
        <x:v>28</x:v>
      </x:c>
      <x:c r="W80" s="38" t="str">
        <x:f>IF(G80&gt;M80*1.5,"Caution",IF(G80&lt;M80*0.7,"Discount","Fair"))</x:f>
        <x:v>Discount</x:v>
      </x:c>
      <x:c r="X80" s="38" t="str">
        <x:f>IF(I80&gt;O80*1.2,"Above Sector","Normal")</x:f>
        <x:v>Normal</x:v>
      </x:c>
      <x:c r="Y80" s="38" t="str">
        <x:f>IF(W80="Caution","P/E is more than 50% above sector median",IF(W80="Discount","P/E is more than 30% below sector median","P/E is within the normal sector range"))</x:f>
        <x:v>P/E is more than 30% below sector median</x:v>
      </x:c>
    </x:row>
    <x:row r="81">
      <x:c r="A81" s="26" t="str">
        <x:v>SHRIRAMFIN</x:v>
      </x:c>
      <x:c r="B81" s="26" t="str">
        <x:v>Shriram Finance Ltd
</x:v>
      </x:c>
      <x:c r="C81" s="26" t="str">
        <x:v>Financials</x:v>
      </x:c>
      <x:c r="D81" s="26" t="str">
        <x:v>Consumer Finance</x:v>
      </x:c>
      <x:c r="E81" s="27" t="n">
        <x:v>2024</x:v>
      </x:c>
      <x:c r="F81" s="28" t="n">
        <x:v>868933.47</x:v>
      </x:c>
      <x:c r="G81" s="29" t="n">
        <x:v>68.53</x:v>
      </x:c>
      <x:c r="H81" s="29" t="n">
        <x:v>7.91</x:v>
      </x:c>
      <x:c r="I81" s="29" t="n">
        <x:v>28.82</x:v>
      </x:c>
      <x:c r="J81" s="29" t="n">
        <x:v>37.85</x:v>
      </x:c>
      <x:c r="K81" s="29" t="n">
        <x:v>10.02</x:v>
      </x:c>
      <x:c r="L81" s="29" t="n">
        <x:v>26.94</x:v>
      </x:c>
      <x:c r="M81" s="29" t="n">
        <x:v>34.24</x:v>
      </x:c>
      <x:c r="N81" s="29" t="n">
        <x:v>6.59</x:v>
      </x:c>
      <x:c r="O81" s="29" t="n">
        <x:v>23.95</x:v>
      </x:c>
      <x:c r="P81" s="30" t="n">
        <x:v>1.86</x:v>
      </x:c>
      <x:c r="Q81" s="28" t="n">
        <x:v>-31359</x:v>
      </x:c>
      <x:c r="R81" s="36" t="n">
        <x:f>IFERROR(Q81/F81*100,"")</x:f>
        <x:v>-3.608906905151208</x:v>
      </x:c>
      <x:c r="S81" s="36" t="n">
        <x:f>IFERROR((G81/J81-1)*100,"")</x:f>
        <x:v>81.05680317040951</x:v>
      </x:c>
      <x:c r="T81" s="36" t="n">
        <x:f>IFERROR((I81/O81-1)*100,"")</x:f>
        <x:v>20.334029227557426</x:v>
      </x:c>
      <x:c r="U81" s="37" t="n">
        <x:f>COUNTIFS($C$2:$C$93,C81,$G$2:$G$93,"&lt;"&amp;G81)+1</x:f>
        <x:v>21</x:v>
      </x:c>
      <x:c r="V81" s="37" t="n">
        <x:f>RANK.EQ(P81,$P$2:$P$93,0)</x:f>
        <x:v>54</x:v>
      </x:c>
      <x:c r="W81" s="38" t="str">
        <x:f>IF(G81&gt;M81*1.5,"Caution",IF(G81&lt;M81*0.7,"Discount","Fair"))</x:f>
        <x:v>Caution</x:v>
      </x:c>
      <x:c r="X81" s="38" t="str">
        <x:f>IF(I81&gt;O81*1.2,"Above Sector","Normal")</x:f>
        <x:v>Above Sector</x:v>
      </x:c>
      <x:c r="Y81" s="38" t="str">
        <x:f>IF(W81="Caution","P/E is more than 50% above sector median",IF(W81="Discount","P/E is more than 30% below sector median","P/E is within the normal sector range"))</x:f>
        <x:v>P/E is more than 50% above sector median</x:v>
      </x:c>
    </x:row>
    <x:row r="82">
      <x:c r="A82" s="26" t="str">
        <x:v>SIEMENS</x:v>
      </x:c>
      <x:c r="B82" s="26" t="str">
        <x:v>Siemens Ltd</x:v>
      </x:c>
      <x:c r="C82" s="26" t="str">
        <x:v>Industrials</x:v>
      </x:c>
      <x:c r="D82" s="26" t="str">
        <x:v>Capital Goods</x:v>
      </x:c>
      <x:c r="E82" s="27" t="n">
        <x:v>2024</x:v>
      </x:c>
      <x:c r="F82" s="28" t="n">
        <x:v>1191331.95</x:v>
      </x:c>
      <x:c r="G82" s="29" t="n">
        <x:v>33.32</x:v>
      </x:c>
      <x:c r="H82" s="29" t="n">
        <x:v>9.25</x:v>
      </x:c>
      <x:c r="I82" s="29" t="n">
        <x:v>30.88</x:v>
      </x:c>
      <x:c r="J82" s="29" t="n">
        <x:v>41.13</x:v>
      </x:c>
      <x:c r="K82" s="29" t="n">
        <x:v>9.25</x:v>
      </x:c>
      <x:c r="L82" s="29" t="n">
        <x:v>28.22</x:v>
      </x:c>
      <x:c r="M82" s="29" t="n">
        <x:v>47.155</x:v>
      </x:c>
      <x:c r="N82" s="29" t="n">
        <x:v>7.45</x:v>
      </x:c>
      <x:c r="O82" s="29" t="n">
        <x:v>22.365000000000002</x:v>
      </x:c>
      <x:c r="P82" s="30" t="n">
        <x:v>3.69</x:v>
      </x:c>
      <x:c r="Q82" s="28" t="n">
        <x:v>1168</x:v>
      </x:c>
      <x:c r="R82" s="36" t="n">
        <x:f>IFERROR(Q82/F82*100,"")</x:f>
        <x:v>0.09804152402695152</x:v>
      </x:c>
      <x:c r="S82" s="36" t="n">
        <x:f>IFERROR((G82/J82-1)*100,"")</x:f>
        <x:v>-18.98857281789449</x:v>
      </x:c>
      <x:c r="T82" s="36" t="n">
        <x:f>IFERROR((I82/O82-1)*100,"")</x:f>
        <x:v>38.072881734853546</x:v>
      </x:c>
      <x:c r="U82" s="37" t="n">
        <x:f>COUNTIFS($C$2:$C$93,C82,$G$2:$G$93,"&lt;"&amp;G82)+1</x:f>
        <x:v>4</x:v>
      </x:c>
      <x:c r="V82" s="37" t="n">
        <x:f>RANK.EQ(P82,$P$2:$P$93,0)</x:f>
        <x:v>18</x:v>
      </x:c>
      <x:c r="W82" s="38" t="str">
        <x:f>IF(G82&gt;M82*1.5,"Caution",IF(G82&lt;M82*0.7,"Discount","Fair"))</x:f>
        <x:v>Fair</x:v>
      </x:c>
      <x:c r="X82" s="38" t="str">
        <x:f>IF(I82&gt;O82*1.2,"Above Sector","Normal")</x:f>
        <x:v>Above Sector</x:v>
      </x:c>
      <x:c r="Y82" s="38" t="str">
        <x:f>IF(W82="Caution","P/E is more than 50% above sector median",IF(W82="Discount","P/E is more than 30% below sector median","P/E is within the normal sector range"))</x:f>
        <x:v>P/E is within the normal sector range</x:v>
      </x:c>
    </x:row>
    <x:row r="83">
      <x:c r="A83" s="26" t="str">
        <x:v>SUNPHARMA</x:v>
      </x:c>
      <x:c r="B83" s="26" t="str">
        <x:v>Sun Pharmaceuticals Industries Ltd</x:v>
      </x:c>
      <x:c r="C83" s="26" t="str">
        <x:v>Healthcare</x:v>
      </x:c>
      <x:c r="D83" s="26" t="str">
        <x:v>Pharmaceuticals</x:v>
      </x:c>
      <x:c r="E83" s="27" t="n">
        <x:v>2024</x:v>
      </x:c>
      <x:c r="F83" s="28" t="n">
        <x:v>1339586.09</x:v>
      </x:c>
      <x:c r="G83" s="29" t="n">
        <x:v>37.9</x:v>
      </x:c>
      <x:c r="H83" s="29" t="n">
        <x:v>6.71</x:v>
      </x:c>
      <x:c r="I83" s="29" t="n">
        <x:v>21.41</x:v>
      </x:c>
      <x:c r="J83" s="29" t="n">
        <x:v>24.58</x:v>
      </x:c>
      <x:c r="K83" s="29" t="n">
        <x:v>6.71</x:v>
      </x:c>
      <x:c r="L83" s="29" t="n">
        <x:v>21.41</x:v>
      </x:c>
      <x:c r="M83" s="29" t="n">
        <x:v>47.06</x:v>
      </x:c>
      <x:c r="N83" s="29" t="n">
        <x:v>7.195</x:v>
      </x:c>
      <x:c r="O83" s="29" t="n">
        <x:v>24.67</x:v>
      </x:c>
      <x:c r="P83" s="30" t="n">
        <x:v>3.88</x:v>
      </x:c>
      <x:c r="Q83" s="28" t="n">
        <x:v>11372</x:v>
      </x:c>
      <x:c r="R83" s="36" t="n">
        <x:f>IFERROR(Q83/F83*100,"")</x:f>
        <x:v>0.8489189373413096</x:v>
      </x:c>
      <x:c r="S83" s="36" t="n">
        <x:f>IFERROR((G83/J83-1)*100,"")</x:f>
        <x:v>54.19039869812856</x:v>
      </x:c>
      <x:c r="T83" s="36" t="n">
        <x:f>IFERROR((I83/O83-1)*100,"")</x:f>
        <x:v>-13.214430482367256</x:v>
      </x:c>
      <x:c r="U83" s="37" t="n">
        <x:f>COUNTIFS($C$2:$C$93,C83,$G$2:$G$93,"&lt;"&amp;G83)+1</x:f>
        <x:v>2</x:v>
      </x:c>
      <x:c r="V83" s="37" t="n">
        <x:f>RANK.EQ(P83,$P$2:$P$93,0)</x:f>
        <x:v>14</x:v>
      </x:c>
      <x:c r="W83" s="38" t="str">
        <x:f>IF(G83&gt;M83*1.5,"Caution",IF(G83&lt;M83*0.7,"Discount","Fair"))</x:f>
        <x:v>Fair</x:v>
      </x:c>
      <x:c r="X83" s="38" t="str">
        <x:f>IF(I83&gt;O83*1.2,"Above Sector","Normal")</x:f>
        <x:v>Normal</x:v>
      </x:c>
      <x:c r="Y83" s="38" t="str">
        <x:f>IF(W83="Caution","P/E is more than 50% above sector median",IF(W83="Discount","P/E is more than 30% below sector median","P/E is within the normal sector range"))</x:f>
        <x:v>P/E is within the normal sector range</x:v>
      </x:c>
    </x:row>
    <x:row r="84">
      <x:c r="A84" s="26" t="str">
        <x:v>TATACONSUM</x:v>
      </x:c>
      <x:c r="B84" s="26" t="str">
        <x:v>Tata Consumer Products Ltd</x:v>
      </x:c>
      <x:c r="C84" s="26" t="str">
        <x:v>Consumer Staples</x:v>
      </x:c>
      <x:c r="D84" s="26" t="str">
        <x:v>Food &amp; Beverages</x:v>
      </x:c>
      <x:c r="E84" s="27" t="n">
        <x:v>2024</x:v>
      </x:c>
      <x:c r="F84" s="28" t="n">
        <x:v>350543.35</x:v>
      </x:c>
      <x:c r="G84" s="29" t="n">
        <x:v>54.79</x:v>
      </x:c>
      <x:c r="H84" s="29" t="n">
        <x:v>7.14</x:v>
      </x:c>
      <x:c r="I84" s="29" t="n">
        <x:v>24.84</x:v>
      </x:c>
      <x:c r="J84" s="29" t="n">
        <x:v>54.79</x:v>
      </x:c>
      <x:c r="K84" s="29" t="n">
        <x:v>7.14</x:v>
      </x:c>
      <x:c r="L84" s="29" t="n">
        <x:v>31.21</x:v>
      </x:c>
      <x:c r="M84" s="29" t="n">
        <x:v>50.95</x:v>
      </x:c>
      <x:c r="N84" s="29" t="n">
        <x:v>8.07</x:v>
      </x:c>
      <x:c r="O84" s="29" t="n">
        <x:v>17.19</x:v>
      </x:c>
      <x:c r="P84" s="30" t="n">
        <x:v>1.87</x:v>
      </x:c>
      <x:c r="Q84" s="28" t="n">
        <x:v>26</x:v>
      </x:c>
      <x:c r="R84" s="36" t="n">
        <x:f>IFERROR(Q84/F84*100,"")</x:f>
        <x:v>0.007417056977403794</x:v>
      </x:c>
      <x:c r="S84" s="36" t="n">
        <x:f>IFERROR((G84/J84-1)*100,"")</x:f>
        <x:v>0</x:v>
      </x:c>
      <x:c r="T84" s="36" t="n">
        <x:f>IFERROR((I84/O84-1)*100,"")</x:f>
        <x:v>44.502617801047116</x:v>
      </x:c>
      <x:c r="U84" s="37" t="n">
        <x:f>COUNTIFS($C$2:$C$93,C84,$G$2:$G$93,"&lt;"&amp;G84)+1</x:f>
        <x:v>5</x:v>
      </x:c>
      <x:c r="V84" s="37" t="n">
        <x:f>RANK.EQ(P84,$P$2:$P$93,0)</x:f>
        <x:v>53</x:v>
      </x:c>
      <x:c r="W84" s="38" t="str">
        <x:f>IF(G84&gt;M84*1.5,"Caution",IF(G84&lt;M84*0.7,"Discount","Fair"))</x:f>
        <x:v>Fair</x:v>
      </x:c>
      <x:c r="X84" s="38" t="str">
        <x:f>IF(I84&gt;O84*1.2,"Above Sector","Normal")</x:f>
        <x:v>Above Sector</x:v>
      </x:c>
      <x:c r="Y84" s="38" t="str">
        <x:f>IF(W84="Caution","P/E is more than 50% above sector median",IF(W84="Discount","P/E is more than 30% below sector median","P/E is within the normal sector range"))</x:f>
        <x:v>P/E is within the normal sector range</x:v>
      </x:c>
    </x:row>
    <x:row r="85">
      <x:c r="A85" s="26" t="str">
        <x:v>TATAMOTORS</x:v>
      </x:c>
      <x:c r="B85" s="26" t="str">
        <x:v>Tata Motors Ltd</x:v>
      </x:c>
      <x:c r="C85" s="26" t="str">
        <x:v>Consumer Discretionary</x:v>
      </x:c>
      <x:c r="D85" s="26" t="str">
        <x:v>Automobiles</x:v>
      </x:c>
      <x:c r="E85" s="27" t="n">
        <x:v>2024</x:v>
      </x:c>
      <x:c r="F85" s="28" t="n">
        <x:v>1504106.64</x:v>
      </x:c>
      <x:c r="G85" s="29" t="n">
        <x:v>67.07</x:v>
      </x:c>
      <x:c r="H85" s="29" t="n">
        <x:v>0.93</x:v>
      </x:c>
      <x:c r="I85" s="29" t="n">
        <x:v>15.35</x:v>
      </x:c>
      <x:c r="J85" s="29" t="n">
        <x:v>34.17</x:v>
      </x:c>
      <x:c r="K85" s="29" t="n">
        <x:v>1.87</x:v>
      </x:c>
      <x:c r="L85" s="29" t="n">
        <x:v>21.21</x:v>
      </x:c>
      <x:c r="M85" s="29" t="n">
        <x:v>38.005</x:v>
      </x:c>
      <x:c r="N85" s="29" t="n">
        <x:v>8.065</x:v>
      </x:c>
      <x:c r="O85" s="29" t="n">
        <x:v>26.455</x:v>
      </x:c>
      <x:c r="P85" s="30" t="n">
        <x:v>3.65</x:v>
      </x:c>
      <x:c r="Q85" s="28" t="n">
        <x:v>45133</x:v>
      </x:c>
      <x:c r="R85" s="36" t="n">
        <x:f>IFERROR(Q85/F85*100,"")</x:f>
        <x:v>3.000651602734764</x:v>
      </x:c>
      <x:c r="S85" s="36" t="n">
        <x:f>IFERROR((G85/J85-1)*100,"")</x:f>
        <x:v>96.28328943517704</x:v>
      </x:c>
      <x:c r="T85" s="36" t="n">
        <x:f>IFERROR((I85/O85-1)*100,"")</x:f>
        <x:v>-41.97694197694197</x:v>
      </x:c>
      <x:c r="U85" s="37" t="n">
        <x:f>COUNTIFS($C$2:$C$93,C85,$G$2:$G$93,"&lt;"&amp;G85)+1</x:f>
        <x:v>12</x:v>
      </x:c>
      <x:c r="V85" s="37" t="n">
        <x:f>RANK.EQ(P85,$P$2:$P$93,0)</x:f>
        <x:v>19</x:v>
      </x:c>
      <x:c r="W85" s="38" t="str">
        <x:f>IF(G85&gt;M85*1.5,"Caution",IF(G85&lt;M85*0.7,"Discount","Fair"))</x:f>
        <x:v>Caution</x:v>
      </x:c>
      <x:c r="X85" s="38" t="str">
        <x:f>IF(I85&gt;O85*1.2,"Above Sector","Normal")</x:f>
        <x:v>Normal</x:v>
      </x:c>
      <x:c r="Y85" s="38" t="str">
        <x:f>IF(W85="Caution","P/E is more than 50% above sector median",IF(W85="Discount","P/E is more than 30% below sector median","P/E is within the normal sector range"))</x:f>
        <x:v>P/E is more than 50% above sector median</x:v>
      </x:c>
    </x:row>
    <x:row r="86">
      <x:c r="A86" s="26" t="str">
        <x:v>TATAPOWER</x:v>
      </x:c>
      <x:c r="B86" s="26" t="str">
        <x:v>Tata Power Company Ltd
</x:v>
      </x:c>
      <x:c r="C86" s="26" t="str">
        <x:v>Energy</x:v>
      </x:c>
      <x:c r="D86" s="26" t="str">
        <x:v>Power &amp; Utilities</x:v>
      </x:c>
      <x:c r="E86" s="27" t="n">
        <x:v>2024</x:v>
      </x:c>
      <x:c r="F86" s="28" t="n">
        <x:v>1647269.48</x:v>
      </x:c>
      <x:c r="G86" s="29" t="n">
        <x:v>14.5</x:v>
      </x:c>
      <x:c r="H86" s="29" t="n">
        <x:v>3.48</x:v>
      </x:c>
      <x:c r="I86" s="29" t="n">
        <x:v>12.02</x:v>
      </x:c>
      <x:c r="J86" s="29" t="n">
        <x:v>24.7</x:v>
      </x:c>
      <x:c r="K86" s="29" t="n">
        <x:v>3.48</x:v>
      </x:c>
      <x:c r="L86" s="29" t="n">
        <x:v>14.32</x:v>
      </x:c>
      <x:c r="M86" s="29" t="n">
        <x:v>44.915</x:v>
      </x:c>
      <x:c r="N86" s="29" t="n">
        <x:v>6</x:v>
      </x:c>
      <x:c r="O86" s="29" t="n">
        <x:v>24.86</x:v>
      </x:c>
      <x:c r="P86" s="30" t="n">
        <x:v>0.49</x:v>
      </x:c>
      <x:c r="Q86" s="28" t="n">
        <x:v>3569</x:v>
      </x:c>
      <x:c r="R86" s="36" t="n">
        <x:f>IFERROR(Q86/F86*100,"")</x:f>
        <x:v>0.2166615750083587</x:v>
      </x:c>
      <x:c r="S86" s="36" t="n">
        <x:f>IFERROR((G86/J86-1)*100,"")</x:f>
        <x:v>-41.29554655870445</x:v>
      </x:c>
      <x:c r="T86" s="36" t="n">
        <x:f>IFERROR((I86/O86-1)*100,"")</x:f>
        <x:v>-51.64923572003218</x:v>
      </x:c>
      <x:c r="U86" s="37" t="n">
        <x:f>COUNTIFS($C$2:$C$93,C86,$G$2:$G$93,"&lt;"&amp;G86)+1</x:f>
        <x:v>1</x:v>
      </x:c>
      <x:c r="V86" s="37" t="n">
        <x:f>RANK.EQ(P86,$P$2:$P$93,0)</x:f>
        <x:v>84</x:v>
      </x:c>
      <x:c r="W86" s="38" t="str">
        <x:f>IF(G86&gt;M86*1.5,"Caution",IF(G86&lt;M86*0.7,"Discount","Fair"))</x:f>
        <x:v>Discount</x:v>
      </x:c>
      <x:c r="X86" s="38" t="str">
        <x:f>IF(I86&gt;O86*1.2,"Above Sector","Normal")</x:f>
        <x:v>Normal</x:v>
      </x:c>
      <x:c r="Y86" s="38" t="str">
        <x:f>IF(W86="Caution","P/E is more than 50% above sector median",IF(W86="Discount","P/E is more than 30% below sector median","P/E is within the normal sector range"))</x:f>
        <x:v>P/E is more than 30% below sector median</x:v>
      </x:c>
    </x:row>
    <x:row r="87">
      <x:c r="A87" s="26" t="str">
        <x:v>TATASTEEL</x:v>
      </x:c>
      <x:c r="B87" s="26" t="str">
        <x:v>Tata Steel Ltd
</x:v>
      </x:c>
      <x:c r="C87" s="26" t="str">
        <x:v>Materials</x:v>
      </x:c>
      <x:c r="D87" s="26" t="str">
        <x:v>Steel</x:v>
      </x:c>
      <x:c r="E87" s="27" t="n">
        <x:v>2024</x:v>
      </x:c>
      <x:c r="F87" s="28" t="n">
        <x:v>369110.65</x:v>
      </x:c>
      <x:c r="G87" s="29" t="n">
        <x:v>48.97</x:v>
      </x:c>
      <x:c r="H87" s="29" t="n">
        <x:v>9.23</x:v>
      </x:c>
      <x:c r="I87" s="29" t="n">
        <x:v>38.87</x:v>
      </x:c>
      <x:c r="J87" s="29" t="n">
        <x:v>48.97</x:v>
      </x:c>
      <x:c r="K87" s="29" t="n">
        <x:v>9.76</x:v>
      </x:c>
      <x:c r="L87" s="29" t="n">
        <x:v>22.35</x:v>
      </x:c>
      <x:c r="M87" s="29" t="n">
        <x:v>55.62</x:v>
      </x:c>
      <x:c r="N87" s="29" t="n">
        <x:v>9.21</x:v>
      </x:c>
      <x:c r="O87" s="29" t="n">
        <x:v>26.58</x:v>
      </x:c>
      <x:c r="P87" s="30" t="n">
        <x:v>1</x:v>
      </x:c>
      <x:c r="Q87" s="28" t="n">
        <x:v>6048</x:v>
      </x:c>
      <x:c r="R87" s="36" t="n">
        <x:f>IFERROR(Q87/F87*100,"")</x:f>
        <x:v>1.6385330523516455</x:v>
      </x:c>
      <x:c r="S87" s="36" t="n">
        <x:f>IFERROR((G87/J87-1)*100,"")</x:f>
        <x:v>0</x:v>
      </x:c>
      <x:c r="T87" s="36" t="n">
        <x:f>IFERROR((I87/O87-1)*100,"")</x:f>
        <x:v>46.23777276147478</x:v>
      </x:c>
      <x:c r="U87" s="37" t="n">
        <x:f>COUNTIFS($C$2:$C$93,C87,$G$2:$G$93,"&lt;"&amp;G87)+1</x:f>
        <x:v>4</x:v>
      </x:c>
      <x:c r="V87" s="37" t="n">
        <x:f>RANK.EQ(P87,$P$2:$P$93,0)</x:f>
        <x:v>75</x:v>
      </x:c>
      <x:c r="W87" s="38" t="str">
        <x:f>IF(G87&gt;M87*1.5,"Caution",IF(G87&lt;M87*0.7,"Discount","Fair"))</x:f>
        <x:v>Fair</x:v>
      </x:c>
      <x:c r="X87" s="38" t="str">
        <x:f>IF(I87&gt;O87*1.2,"Above Sector","Normal")</x:f>
        <x:v>Above Sector</x:v>
      </x:c>
      <x:c r="Y87" s="38" t="str">
        <x:f>IF(W87="Caution","P/E is more than 50% above sector median",IF(W87="Discount","P/E is more than 30% below sector median","P/E is within the normal sector range"))</x:f>
        <x:v>P/E is within the normal sector range</x:v>
      </x:c>
    </x:row>
    <x:row r="88">
      <x:c r="A88" s="26" t="str">
        <x:v>TCS</x:v>
      </x:c>
      <x:c r="B88" s="26" t="str">
        <x:v>Tata Consultancy Services Ltd</x:v>
      </x:c>
      <x:c r="C88" s="26" t="str">
        <x:v>Information Technology</x:v>
      </x:c>
      <x:c r="D88" s="26" t="str">
        <x:v>IT Services</x:v>
      </x:c>
      <x:c r="E88" s="27" t="n">
        <x:v>2024</x:v>
      </x:c>
      <x:c r="F88" s="28" t="n">
        <x:v>461188.15</x:v>
      </x:c>
      <x:c r="G88" s="29" t="n">
        <x:v>78.69</x:v>
      </x:c>
      <x:c r="H88" s="29" t="n">
        <x:v>6.08</x:v>
      </x:c>
      <x:c r="I88" s="29" t="n">
        <x:v>29.94</x:v>
      </x:c>
      <x:c r="J88" s="29" t="n">
        <x:v>57.2</x:v>
      </x:c>
      <x:c r="K88" s="29" t="n">
        <x:v>8.56</x:v>
      </x:c>
      <x:c r="L88" s="29" t="n">
        <x:v>23.13</x:v>
      </x:c>
      <x:c r="M88" s="29" t="n">
        <x:v>63.63</x:v>
      </x:c>
      <x:c r="N88" s="29" t="n">
        <x:v>6.08</x:v>
      </x:c>
      <x:c r="O88" s="29" t="n">
        <x:v>29.94</x:v>
      </x:c>
      <x:c r="P88" s="30" t="n">
        <x:v>1.62</x:v>
      </x:c>
      <x:c r="Q88" s="28" t="n">
        <x:v>50429</x:v>
      </x:c>
      <x:c r="R88" s="36" t="n">
        <x:f>IFERROR(Q88/F88*100,"")</x:f>
        <x:v>10.934582772779395</x:v>
      </x:c>
      <x:c r="S88" s="36" t="n">
        <x:f>IFERROR((G88/J88-1)*100,"")</x:f>
        <x:v>37.56993006993006</x:v>
      </x:c>
      <x:c r="T88" s="36" t="n">
        <x:f>IFERROR((I88/O88-1)*100,"")</x:f>
        <x:v>0</x:v>
      </x:c>
      <x:c r="U88" s="37" t="n">
        <x:f>COUNTIFS($C$2:$C$93,C88,$G$2:$G$93,"&lt;"&amp;G88)+1</x:f>
        <x:v>5</x:v>
      </x:c>
      <x:c r="V88" s="37" t="n">
        <x:f>RANK.EQ(P88,$P$2:$P$93,0)</x:f>
        <x:v>59</x:v>
      </x:c>
      <x:c r="W88" s="38" t="str">
        <x:f>IF(G88&gt;M88*1.5,"Caution",IF(G88&lt;M88*0.7,"Discount","Fair"))</x:f>
        <x:v>Fair</x:v>
      </x:c>
      <x:c r="X88" s="38" t="str">
        <x:f>IF(I88&gt;O88*1.2,"Above Sector","Normal")</x:f>
        <x:v>Normal</x:v>
      </x:c>
      <x:c r="Y88" s="38" t="str">
        <x:f>IF(W88="Caution","P/E is more than 50% above sector median",IF(W88="Discount","P/E is more than 30% below sector median","P/E is within the normal sector range"))</x:f>
        <x:v>P/E is within the normal sector range</x:v>
      </x:c>
    </x:row>
    <x:row r="89">
      <x:c r="A89" s="26" t="str">
        <x:v>TECHM</x:v>
      </x:c>
      <x:c r="B89" s="26" t="str">
        <x:v>Tech Mahindra Ltd</x:v>
      </x:c>
      <x:c r="C89" s="26" t="str">
        <x:v>Information Technology</x:v>
      </x:c>
      <x:c r="D89" s="26" t="str">
        <x:v>IT Services</x:v>
      </x:c>
      <x:c r="E89" s="27" t="n">
        <x:v>2024</x:v>
      </x:c>
      <x:c r="F89" s="28" t="n">
        <x:v>3021095.64</x:v>
      </x:c>
      <x:c r="G89" s="29" t="n">
        <x:v>57.4</x:v>
      </x:c>
      <x:c r="H89" s="29" t="n">
        <x:v>7.43</x:v>
      </x:c>
      <x:c r="I89" s="29" t="n">
        <x:v>7.85</x:v>
      </x:c>
      <x:c r="J89" s="29" t="n">
        <x:v>51.58</x:v>
      </x:c>
      <x:c r="K89" s="29" t="n">
        <x:v>4.41</x:v>
      </x:c>
      <x:c r="L89" s="29" t="n">
        <x:v>34.69</x:v>
      </x:c>
      <x:c r="M89" s="29" t="n">
        <x:v>63.63</x:v>
      </x:c>
      <x:c r="N89" s="29" t="n">
        <x:v>6.08</x:v>
      </x:c>
      <x:c r="O89" s="29" t="n">
        <x:v>29.94</x:v>
      </x:c>
      <x:c r="P89" s="30" t="n">
        <x:v>0.64</x:v>
      </x:c>
      <x:c r="Q89" s="28" t="n">
        <x:v>5058</x:v>
      </x:c>
      <x:c r="R89" s="36" t="n">
        <x:f>IFERROR(Q89/F89*100,"")</x:f>
        <x:v>0.16742270363873682</x:v>
      </x:c>
      <x:c r="S89" s="36" t="n">
        <x:f>IFERROR((G89/J89-1)*100,"")</x:f>
        <x:v>11.283443195036845</x:v>
      </x:c>
      <x:c r="T89" s="36" t="n">
        <x:f>IFERROR((I89/O89-1)*100,"")</x:f>
        <x:v>-73.7808951235805</x:v>
      </x:c>
      <x:c r="U89" s="37" t="n">
        <x:f>COUNTIFS($C$2:$C$93,C89,$G$2:$G$93,"&lt;"&amp;G89)+1</x:f>
        <x:v>2</x:v>
      </x:c>
      <x:c r="V89" s="37" t="n">
        <x:f>RANK.EQ(P89,$P$2:$P$93,0)</x:f>
        <x:v>82</x:v>
      </x:c>
      <x:c r="W89" s="38" t="str">
        <x:f>IF(G89&gt;M89*1.5,"Caution",IF(G89&lt;M89*0.7,"Discount","Fair"))</x:f>
        <x:v>Fair</x:v>
      </x:c>
      <x:c r="X89" s="38" t="str">
        <x:f>IF(I89&gt;O89*1.2,"Above Sector","Normal")</x:f>
        <x:v>Normal</x:v>
      </x:c>
      <x:c r="Y89" s="38" t="str">
        <x:f>IF(W89="Caution","P/E is more than 50% above sector median",IF(W89="Discount","P/E is more than 30% below sector median","P/E is within the normal sector range"))</x:f>
        <x:v>P/E is within the normal sector range</x:v>
      </x:c>
    </x:row>
    <x:row r="90">
      <x:c r="A90" s="26" t="str">
        <x:v>TITAN</x:v>
      </x:c>
      <x:c r="B90" s="26" t="str">
        <x:v>Titan Company Ltd
</x:v>
      </x:c>
      <x:c r="C90" s="26" t="str">
        <x:v>Consumer Discretionary</x:v>
      </x:c>
      <x:c r="D90" s="26" t="str">
        <x:v>Gems &amp; Jewellery</x:v>
      </x:c>
      <x:c r="E90" s="27" t="n">
        <x:v>2024</x:v>
      </x:c>
      <x:c r="F90" s="28" t="n">
        <x:v>1793769.72</x:v>
      </x:c>
      <x:c r="G90" s="29" t="n">
        <x:v>10.13</x:v>
      </x:c>
      <x:c r="H90" s="29" t="n">
        <x:v>10.51</x:v>
      </x:c>
      <x:c r="I90" s="29" t="n">
        <x:v>21</x:v>
      </x:c>
      <x:c r="J90" s="29" t="n">
        <x:v>26.55</x:v>
      </x:c>
      <x:c r="K90" s="29" t="n">
        <x:v>5.89</x:v>
      </x:c>
      <x:c r="L90" s="29" t="n">
        <x:v>23.08</x:v>
      </x:c>
      <x:c r="M90" s="29" t="n">
        <x:v>38.005</x:v>
      </x:c>
      <x:c r="N90" s="29" t="n">
        <x:v>8.065</x:v>
      </x:c>
      <x:c r="O90" s="29" t="n">
        <x:v>26.455</x:v>
      </x:c>
      <x:c r="P90" s="30" t="n">
        <x:v>3.1</x:v>
      </x:c>
      <x:c r="Q90" s="28" t="n">
        <x:v>1506</x:v>
      </x:c>
      <x:c r="R90" s="36" t="n">
        <x:f>IFERROR(Q90/F90*100,"")</x:f>
        <x:v>0.0839572651499547</x:v>
      </x:c>
      <x:c r="S90" s="36" t="n">
        <x:f>IFERROR((G90/J90-1)*100,"")</x:f>
        <x:v>-61.845574387947266</x:v>
      </x:c>
      <x:c r="T90" s="36" t="n">
        <x:f>IFERROR((I90/O90-1)*100,"")</x:f>
        <x:v>-20.619920619920617</x:v>
      </x:c>
      <x:c r="U90" s="37" t="n">
        <x:f>COUNTIFS($C$2:$C$93,C90,$G$2:$G$93,"&lt;"&amp;G90)+1</x:f>
        <x:v>3</x:v>
      </x:c>
      <x:c r="V90" s="37" t="n">
        <x:f>RANK.EQ(P90,$P$2:$P$93,0)</x:f>
        <x:v>29</x:v>
      </x:c>
      <x:c r="W90" s="38" t="str">
        <x:f>IF(G90&gt;M90*1.5,"Caution",IF(G90&lt;M90*0.7,"Discount","Fair"))</x:f>
        <x:v>Discount</x:v>
      </x:c>
      <x:c r="X90" s="38" t="str">
        <x:f>IF(I90&gt;O90*1.2,"Above Sector","Normal")</x:f>
        <x:v>Normal</x:v>
      </x:c>
      <x:c r="Y90" s="38" t="str">
        <x:f>IF(W90="Caution","P/E is more than 50% above sector median",IF(W90="Discount","P/E is more than 30% below sector median","P/E is within the normal sector range"))</x:f>
        <x:v>P/E is more than 30% below sector median</x:v>
      </x:c>
    </x:row>
    <x:row r="91">
      <x:c r="A91" s="26" t="str">
        <x:v>TORNTPHARM</x:v>
      </x:c>
      <x:c r="B91" s="26" t="str">
        <x:v>Torrent Pharmaceuticals Ltd</x:v>
      </x:c>
      <x:c r="C91" s="26" t="str">
        <x:v>Healthcare</x:v>
      </x:c>
      <x:c r="D91" s="26" t="str">
        <x:v>Pharmaceuticals</x:v>
      </x:c>
      <x:c r="E91" s="27" t="n">
        <x:v>2024</x:v>
      </x:c>
      <x:c r="F91" s="28" t="n">
        <x:v>1870170.39</x:v>
      </x:c>
      <x:c r="G91" s="29" t="n">
        <x:v>46.4</x:v>
      </x:c>
      <x:c r="H91" s="29" t="n">
        <x:v>6.43</x:v>
      </x:c>
      <x:c r="I91" s="29" t="n">
        <x:v>27.93</x:v>
      </x:c>
      <x:c r="J91" s="29" t="n">
        <x:v>46.4</x:v>
      </x:c>
      <x:c r="K91" s="29" t="n">
        <x:v>10.52</x:v>
      </x:c>
      <x:c r="L91" s="29" t="n">
        <x:v>27.93</x:v>
      </x:c>
      <x:c r="M91" s="29" t="n">
        <x:v>47.06</x:v>
      </x:c>
      <x:c r="N91" s="29" t="n">
        <x:v>7.195</x:v>
      </x:c>
      <x:c r="O91" s="29" t="n">
        <x:v>24.67</x:v>
      </x:c>
      <x:c r="P91" s="30" t="n">
        <x:v>1.22</x:v>
      </x:c>
      <x:c r="Q91" s="28" t="n">
        <x:v>3106</x:v>
      </x:c>
      <x:c r="R91" s="36" t="n">
        <x:f>IFERROR(Q91/F91*100,"")</x:f>
        <x:v>0.1660811237632738</x:v>
      </x:c>
      <x:c r="S91" s="36" t="n">
        <x:f>IFERROR((G91/J91-1)*100,"")</x:f>
        <x:v>0</x:v>
      </x:c>
      <x:c r="T91" s="36" t="n">
        <x:f>IFERROR((I91/O91-1)*100,"")</x:f>
        <x:v>13.214430482367234</x:v>
      </x:c>
      <x:c r="U91" s="37" t="n">
        <x:f>COUNTIFS($C$2:$C$93,C91,$G$2:$G$93,"&lt;"&amp;G91)+1</x:f>
        <x:v>3</x:v>
      </x:c>
      <x:c r="V91" s="37" t="n">
        <x:f>RANK.EQ(P91,$P$2:$P$93,0)</x:f>
        <x:v>68</x:v>
      </x:c>
      <x:c r="W91" s="38" t="str">
        <x:f>IF(G91&gt;M91*1.5,"Caution",IF(G91&lt;M91*0.7,"Discount","Fair"))</x:f>
        <x:v>Fair</x:v>
      </x:c>
      <x:c r="X91" s="38" t="str">
        <x:f>IF(I91&gt;O91*1.2,"Above Sector","Normal")</x:f>
        <x:v>Normal</x:v>
      </x:c>
      <x:c r="Y91" s="38" t="str">
        <x:f>IF(W91="Caution","P/E is more than 50% above sector median",IF(W91="Discount","P/E is more than 30% below sector median","P/E is within the normal sector range"))</x:f>
        <x:v>P/E is within the normal sector range</x:v>
      </x:c>
    </x:row>
    <x:row r="92">
      <x:c r="A92" s="26" t="str">
        <x:v>TRENT</x:v>
      </x:c>
      <x:c r="B92" s="26" t="str">
        <x:v>Trent Ltd</x:v>
      </x:c>
      <x:c r="C92" s="26" t="str">
        <x:v>Consumer Discretionary</x:v>
      </x:c>
      <x:c r="D92" s="26" t="str">
        <x:v>Retail</x:v>
      </x:c>
      <x:c r="E92" s="27" t="n">
        <x:v>2024</x:v>
      </x:c>
      <x:c r="F92" s="28" t="n">
        <x:v>571322.04</x:v>
      </x:c>
      <x:c r="G92" s="29" t="n">
        <x:v>8.65</x:v>
      </x:c>
      <x:c r="H92" s="29" t="n">
        <x:v>11.82</x:v>
      </x:c>
      <x:c r="I92" s="29" t="n">
        <x:v>34.65</x:v>
      </x:c>
      <x:c r="J92" s="29" t="n">
        <x:v>65.94</x:v>
      </x:c>
      <x:c r="K92" s="29" t="n">
        <x:v>11.82</x:v>
      </x:c>
      <x:c r="L92" s="29" t="n">
        <x:v>13.28</x:v>
      </x:c>
      <x:c r="M92" s="29" t="n">
        <x:v>38.005</x:v>
      </x:c>
      <x:c r="N92" s="29" t="n">
        <x:v>8.065</x:v>
      </x:c>
      <x:c r="O92" s="29" t="n">
        <x:v>26.455</x:v>
      </x:c>
      <x:c r="P92" s="30" t="n">
        <x:v>3.46</x:v>
      </x:c>
      <x:c r="Q92" s="28" t="n">
        <x:v>841</x:v>
      </x:c>
      <x:c r="R92" s="36" t="n">
        <x:f>IFERROR(Q92/F92*100,"")</x:f>
        <x:v>0.14720244295143942</x:v>
      </x:c>
      <x:c r="S92" s="36" t="n">
        <x:f>IFERROR((G92/J92-1)*100,"")</x:f>
        <x:v>-86.88201395207764</x:v>
      </x:c>
      <x:c r="T92" s="36" t="n">
        <x:f>IFERROR((I92/O92-1)*100,"")</x:f>
        <x:v>30.977130977130972</x:v>
      </x:c>
      <x:c r="U92" s="37" t="n">
        <x:f>COUNTIFS($C$2:$C$93,C92,$G$2:$G$93,"&lt;"&amp;G92)+1</x:f>
        <x:v>1</x:v>
      </x:c>
      <x:c r="V92" s="37" t="n">
        <x:f>RANK.EQ(P92,$P$2:$P$93,0)</x:f>
        <x:v>21</x:v>
      </x:c>
      <x:c r="W92" s="38" t="str">
        <x:f>IF(G92&gt;M92*1.5,"Caution",IF(G92&lt;M92*0.7,"Discount","Fair"))</x:f>
        <x:v>Discount</x:v>
      </x:c>
      <x:c r="X92" s="38" t="str">
        <x:f>IF(I92&gt;O92*1.2,"Above Sector","Normal")</x:f>
        <x:v>Above Sector</x:v>
      </x:c>
      <x:c r="Y92" s="38" t="str">
        <x:f>IF(W92="Caution","P/E is more than 50% above sector median",IF(W92="Discount","P/E is more than 30% below sector median","P/E is within the normal sector range"))</x:f>
        <x:v>P/E is more than 30% below sector median</x:v>
      </x:c>
    </x:row>
    <x:row r="93">
      <x:c r="A93" s="26" t="str">
        <x:v>TVSMOTOR</x:v>
      </x:c>
      <x:c r="B93" s="26" t="str">
        <x:v>TVS Motor Company Ltd</x:v>
      </x:c>
      <x:c r="C93" s="26" t="str">
        <x:v>Consumer Discretionary</x:v>
      </x:c>
      <x:c r="D93" s="26" t="str">
        <x:v>Two Wheelers</x:v>
      </x:c>
      <x:c r="E93" s="27" t="n">
        <x:v>2024</x:v>
      </x:c>
      <x:c r="F93" s="28" t="n">
        <x:v>266591.41</x:v>
      </x:c>
      <x:c r="G93" s="29" t="n">
        <x:v>46.1</x:v>
      </x:c>
      <x:c r="H93" s="29" t="n">
        <x:v>5.62</x:v>
      </x:c>
      <x:c r="I93" s="29" t="n">
        <x:v>7.1</x:v>
      </x:c>
      <x:c r="J93" s="29" t="n">
        <x:v>46.1</x:v>
      </x:c>
      <x:c r="K93" s="29" t="n">
        <x:v>7.31</x:v>
      </x:c>
      <x:c r="L93" s="29" t="n">
        <x:v>7.55</x:v>
      </x:c>
      <x:c r="M93" s="29" t="n">
        <x:v>38.005</x:v>
      </x:c>
      <x:c r="N93" s="29" t="n">
        <x:v>8.065</x:v>
      </x:c>
      <x:c r="O93" s="29" t="n">
        <x:v>26.455</x:v>
      </x:c>
      <x:c r="P93" s="30" t="n">
        <x:v>3.07</x:v>
      </x:c>
      <x:c r="Q93" s="28" t="n">
        <x:v>-2254</x:v>
      </x:c>
      <x:c r="R93" s="36" t="n">
        <x:f>IFERROR(Q93/F93*100,"")</x:f>
        <x:v>-0.8454886074536311</x:v>
      </x:c>
      <x:c r="S93" s="36" t="n">
        <x:f>IFERROR((G93/J93-1)*100,"")</x:f>
        <x:v>0</x:v>
      </x:c>
      <x:c r="T93" s="36" t="n">
        <x:f>IFERROR((I93/O93-1)*100,"")</x:f>
        <x:v>-73.16197316197317</x:v>
      </x:c>
      <x:c r="U93" s="37" t="n">
        <x:f>COUNTIFS($C$2:$C$93,C93,$G$2:$G$93,"&lt;"&amp;G93)+1</x:f>
        <x:v>8</x:v>
      </x:c>
      <x:c r="V93" s="37" t="n">
        <x:f>RANK.EQ(P93,$P$2:$P$93,0)</x:f>
        <x:v>34</x:v>
      </x:c>
      <x:c r="W93" s="38" t="str">
        <x:f>IF(G93&gt;M93*1.5,"Caution",IF(G93&lt;M93*0.7,"Discount","Fair"))</x:f>
        <x:v>Fair</x:v>
      </x:c>
      <x:c r="X93" s="38" t="str">
        <x:f>IF(I93&gt;O93*1.2,"Above Sector","Normal")</x:f>
        <x:v>Normal</x:v>
      </x:c>
      <x:c r="Y93" s="38" t="str">
        <x:f>IF(W93="Caution","P/E is more than 50% above sector median",IF(W93="Discount","P/E is more than 30% below sector median","P/E is within the normal sector range"))</x:f>
        <x:v>P/E is within the normal sector range</x:v>
      </x:c>
    </x:row>
  </x:sheetData>
  <x:conditionalFormatting sqref="R2:R9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W2:W93">
    <x:cfRule type="expression" dxfId="0" priority="2">
      <x:formula>W2="Caution"</x:formula>
    </x:cfRule>
    <x:cfRule type="expression" dxfId="1" priority="3">
      <x:formula>W2="Discount"</x:formula>
    </x:cfRule>
    <x:cfRule type="expression" dxfId="2" priority="4">
      <x:formula>W2="Fair"</x:formula>
    </x:cfRule>
  </x:conditionalFormatting>
  <x:conditionalFormatting sqref="X2:X93">
    <x:cfRule type="expression" dxfId="3" priority="5">
      <x:formula>X2="Above Sector"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8d4cb400f44a8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44" t="str">
        <x:v>N100 Valuation Module — D26</x:v>
      </x:c>
      <x:c r="B1" s="44" t="str">
        <x:v>Methodology and source traceability</x:v>
      </x:c>
    </x:row>
    <x:row r="2">
      <x:c r="A2" s="45" t="str">
        <x:v>Official deliverable</x:v>
      </x:c>
      <x:c r="B2" s="45" t="str">
        <x:v>valuation_summary.xlsx — all 92 companies with current + 5Y median multiples, sector rank and valuation badges.</x:v>
      </x:c>
    </x:row>
    <x:row r="3">
      <x:c r="A3" s="45" t="str">
        <x:v>Current valuation year</x:v>
      </x:c>
      <x:c r="B3" s="45" t="str">
        <x:v>2024 (latest year in market_cap.xlsx).</x:v>
      </x:c>
    </x:row>
    <x:row r="4">
      <x:c r="A4" s="45" t="str">
        <x:v>5Y median window</x:v>
      </x:c>
      <x:c r="B4" s="45" t="str">
        <x:v>2020–2024 inclusive (five annual observations).</x:v>
      </x:c>
    </x:row>
    <x:row r="5">
      <x:c r="A5" s="45" t="str">
        <x:v>Current P/E, P/B, EV/EBITDA, dividend yield, market cap</x:v>
      </x:c>
      <x:c r="B5" s="45" t="str">
        <x:v>Source: market_cap.xlsx.</x:v>
      </x:c>
    </x:row>
    <x:row r="6">
      <x:c r="A6" s="45" t="str">
        <x:v>Sector mapping</x:v>
      </x:c>
      <x:c r="B6" s="45" t="str">
        <x:v>Source: sectors.xlsx.</x:v>
      </x:c>
    </x:row>
    <x:row r="7">
      <x:c r="A7" s="45" t="str">
        <x:v>Latest FCF</x:v>
      </x:c>
      <x:c r="B7" s="45" t="str">
        <x:v>Computed from cashflow.xlsx as operating_activity + investing_activity for 2024; last occurrence kept when duplicate company-year rows exist.</x:v>
      </x:c>
    </x:row>
    <x:row r="8">
      <x:c r="A8" s="45" t="str">
        <x:v>FCF yield</x:v>
      </x:c>
      <x:c r="B8" s="45" t="str">
        <x:v>FCF / Market Cap × 100.</x:v>
      </x:c>
    </x:row>
    <x:row r="9">
      <x:c r="A9" s="45" t="str">
        <x:v>P/E valuation badge</x:v>
      </x:c>
      <x:c r="B9" s="45" t="str">
        <x:v>Caution if current P/E &gt; 1.5 × sector median; Discount if current P/E &lt; 0.7 × sector median; otherwise Fair.</x:v>
      </x:c>
    </x:row>
    <x:row r="10">
      <x:c r="A10" s="45" t="str">
        <x:v>EV/EBITDA flag</x:v>
      </x:c>
      <x:c r="B10" s="45" t="str">
        <x:v>Above Sector if current EV/EBITDA &gt; 1.2 × sector median; otherwise Normal.</x:v>
      </x:c>
    </x:row>
    <x:row r="11">
      <x:c r="A11" s="45" t="str">
        <x:v>P/E sector rank</x:v>
      </x:c>
      <x:c r="B11" s="45" t="str">
        <x:v>Lower current P/E receives a better rank within broad sector.</x:v>
      </x:c>
    </x:row>
    <x:row r="12">
      <x:c r="A12" s="45" t="str">
        <x:v>Dividend yield rank</x:v>
      </x:c>
      <x:c r="B12" s="45" t="str">
        <x:v>Higher current dividend yield receives a better overall rank.</x:v>
      </x:c>
    </x:row>
    <x:row r="13">
      <x:c r="A13" s="45" t="str">
        <x:v>ATGL data note</x:v>
      </x:c>
      <x:c r="B13" s="45" t="str">
        <x:v>No exact ATGL cash-flow row exists in the source cashflow.xlsx; FCF yield is intentionally left blank rather than silently mapping the AGTL ticker.</x:v>
      </x:c>
    </x:row>
  </x:sheetData>
  <x:pageMargins left="0.7" right="0.7" top="0.75" bottom="0.75" header="0.3" footer="0.3"/>
</x:worksheet>
</file>